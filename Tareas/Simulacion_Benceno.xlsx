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ocuments\"/>
    </mc:Choice>
  </mc:AlternateContent>
  <xr:revisionPtr revIDLastSave="0" documentId="13_ncr:1_{1991ABDE-3D39-45AB-86F4-5CD822C0188E}" xr6:coauthVersionLast="47" xr6:coauthVersionMax="47" xr10:uidLastSave="{00000000-0000-0000-0000-000000000000}"/>
  <bookViews>
    <workbookView xWindow="-120" yWindow="-120" windowWidth="20730" windowHeight="11160" xr2:uid="{27137B11-C56F-48A7-8C4F-E7CD2B9868FF}"/>
  </bookViews>
  <sheets>
    <sheet name="Datos base" sheetId="2" r:id="rId1"/>
    <sheet name="Reactor" sheetId="3" r:id="rId2"/>
    <sheet name="Separador flash" sheetId="4" r:id="rId3"/>
    <sheet name="Reciclo y purga" sheetId="5" r:id="rId4"/>
    <sheet name="Columnas de destilación" sheetId="6" r:id="rId5"/>
    <sheet name="Balance de energía" sheetId="7" r:id="rId6"/>
    <sheet name="Balance global" sheetId="8" r:id="rId7"/>
    <sheet name="Rendimiento y eficiencia" sheetId="9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2" l="1"/>
  <c r="C24" i="2"/>
  <c r="C26" i="2" s="1"/>
  <c r="C23" i="2"/>
  <c r="C22" i="2"/>
  <c r="C14" i="3"/>
</calcChain>
</file>

<file path=xl/sharedStrings.xml><?xml version="1.0" encoding="utf-8"?>
<sst xmlns="http://schemas.openxmlformats.org/spreadsheetml/2006/main" count="544" uniqueCount="372">
  <si>
    <t>COMPONENTE</t>
  </si>
  <si>
    <t>PM (kg/kmol)</t>
  </si>
  <si>
    <t>Cp (kJ/kmol·K)</t>
  </si>
  <si>
    <t>ΔHf° (kJ/kmol)</t>
  </si>
  <si>
    <t>ΔHvap (kJ/kmol)</t>
  </si>
  <si>
    <t>Tolueno</t>
  </si>
  <si>
    <t>Benceno</t>
  </si>
  <si>
    <t>Hidrógeno</t>
  </si>
  <si>
    <t>-</t>
  </si>
  <si>
    <t>Metano</t>
  </si>
  <si>
    <t>Difenilo</t>
  </si>
  <si>
    <t>VALOR</t>
  </si>
  <si>
    <t>UNIDAD</t>
  </si>
  <si>
    <t>Tolueno fresco (base de cálculo)</t>
  </si>
  <si>
    <t>kmol/h</t>
  </si>
  <si>
    <t>Conversión por paso</t>
  </si>
  <si>
    <t>Selectividad a benceno</t>
  </si>
  <si>
    <t>Relación H2:Tolueno</t>
  </si>
  <si>
    <t>Reciclo vapor flash</t>
  </si>
  <si>
    <t>Fracción vapor flash</t>
  </si>
  <si>
    <t>CORRIENTE 1: TOLUENO FRESCO</t>
  </si>
  <si>
    <t>Componente</t>
  </si>
  <si>
    <t>Flujo (kmol/h)</t>
  </si>
  <si>
    <t>Fracción molar</t>
  </si>
  <si>
    <t>TOTAL</t>
  </si>
  <si>
    <t>T (°C)</t>
  </si>
  <si>
    <t>P (kPa)</t>
  </si>
  <si>
    <t>CORRIENTE 2: HIDRÓGENO FRESCO (con reciclo considerado)</t>
  </si>
  <si>
    <t>Cálculo:</t>
  </si>
  <si>
    <t>H2_total_requerido = Tolueno_fresco × Relación_H2:Tol / (1 - Reciclo × Frac_vapor × 0.98)</t>
  </si>
  <si>
    <t>H2_total_requerido = 200 × 5.0 / (1 - 0.70 × 0.86 × 0.98)</t>
  </si>
  <si>
    <t>H2_total_requerido = 1000 / (1 - 0.591)</t>
  </si>
  <si>
    <t>H2_total_requerido = 1000 / 0.409</t>
  </si>
  <si>
    <t>H2_total_requerido = 2444.99 kmol/h</t>
  </si>
  <si>
    <t>H2 (95%)</t>
  </si>
  <si>
    <t>CH4 (5%)</t>
  </si>
  <si>
    <t>ALIMENTACIÓN AL REACTOR (con reciclo de tolueno)</t>
  </si>
  <si>
    <t>Tolueno reciclado estimado:</t>
  </si>
  <si>
    <t>Tolueno total al reactor:</t>
  </si>
  <si>
    <t>H2 disponible:</t>
  </si>
  <si>
    <t>CH4 entrada:</t>
  </si>
  <si>
    <t>REACCIONES EN EL REACTOR</t>
  </si>
  <si>
    <t>Reacción Principal: C7H8 + H2 → C6H6 + CH4</t>
  </si>
  <si>
    <t>Tolueno convertido:</t>
  </si>
  <si>
    <t>kmol/h (397.00 × 0.50)</t>
  </si>
  <si>
    <t>Benceno producido:</t>
  </si>
  <si>
    <t>kmol/h (198.50 × 0.99)</t>
  </si>
  <si>
    <t>CH4 producido (reac. ppal):</t>
  </si>
  <si>
    <t>Reacción Secundaria: 2C6H6 ⇌ C12H10 + H2</t>
  </si>
  <si>
    <t>Benceno a difenilo:</t>
  </si>
  <si>
    <t>kmol/h (198.50 × 0.01)</t>
  </si>
  <si>
    <t>Difenilo producido:</t>
  </si>
  <si>
    <t>kmol/h (1.98 / 2)</t>
  </si>
  <si>
    <t>H2 liberado:</t>
  </si>
  <si>
    <t>Balance de H2:</t>
  </si>
  <si>
    <t>H2 consumido (reac. ppal):</t>
  </si>
  <si>
    <t>H2 producido (reac. sec):</t>
  </si>
  <si>
    <t>H2 neto consumido:</t>
  </si>
  <si>
    <t>CORRIENTE 12: SALIDA DEL REACTOR</t>
  </si>
  <si>
    <t>H2</t>
  </si>
  <si>
    <t>CH4</t>
  </si>
  <si>
    <t>T (K)</t>
  </si>
  <si>
    <t>FRACCIONAMIENTO EN EL FLASH</t>
  </si>
  <si>
    <t>Factores de separación (K):</t>
  </si>
  <si>
    <t>H2 líquido:</t>
  </si>
  <si>
    <t>CH4 líquido:</t>
  </si>
  <si>
    <t>Benceno líquido:</t>
  </si>
  <si>
    <t>Tolueno líquido:</t>
  </si>
  <si>
    <t>Difenilo líquido:</t>
  </si>
  <si>
    <t>CORRIENTE 14: FASE LÍQUIDA DEL FLASH</t>
  </si>
  <si>
    <t>CORRIENTE 13: FASE VAPOR DEL FLASH</t>
  </si>
  <si>
    <t>CORRIENTE RECICLO (70% del vapor)</t>
  </si>
  <si>
    <t>P final (kPa)</t>
  </si>
  <si>
    <t>3530 (después de compresor K-24)</t>
  </si>
  <si>
    <t>CORRIENTE PURGA (30% del vapor)</t>
  </si>
  <si>
    <t>COLUMNA ESTABILIZADORA (Equipo 7)</t>
  </si>
  <si>
    <t>Alimentación: Líquido del Flash</t>
  </si>
  <si>
    <t>Destilado (gases ligeros):</t>
  </si>
  <si>
    <t>kmol/h (99% de entrada)</t>
  </si>
  <si>
    <t>Fondo (a columna de benceno):</t>
  </si>
  <si>
    <t>kmol/h (99.9% de entrada)</t>
  </si>
  <si>
    <t>kmol/h (100%)</t>
  </si>
  <si>
    <t>COLUMNA DE BENCENO (Equipo 6)</t>
  </si>
  <si>
    <t>Alimentación: Fondo de estabilizadora</t>
  </si>
  <si>
    <t>Destilado (Producto Benceno):</t>
  </si>
  <si>
    <t>kmol/h (99.97% pureza)</t>
  </si>
  <si>
    <t>kmol/h (0.03% impureza)</t>
  </si>
  <si>
    <t>Masa</t>
  </si>
  <si>
    <t>kg/h</t>
  </si>
  <si>
    <t>Fondo (a columna de tolueno):</t>
  </si>
  <si>
    <t>COLUMNA DE TOLUENO (Equipo 5)</t>
  </si>
  <si>
    <t>Alimentación: Fondo de columna de benceno</t>
  </si>
  <si>
    <t>Destilado (Reciclo de Tolueno):</t>
  </si>
  <si>
    <t>kmol/h (98.5% recuperación)</t>
  </si>
  <si>
    <t>kmol/h (trazas)</t>
  </si>
  <si>
    <t>→ Se mezcla con tolueno fresco</t>
  </si>
  <si>
    <t>Fondo (Producto Difenilo):</t>
  </si>
  <si>
    <t>kmol/h (1.5% pérdida)</t>
  </si>
  <si>
    <t>CALOR DE REACCIÓN</t>
  </si>
  <si>
    <t>ΔH°rxn principal = (82900 + (-74800)) - (50000 + 0) = -41900 kJ/kmol</t>
  </si>
  <si>
    <t>ΔH°rxn secundaria = 180000 + 0 - 2(82900) = +14200 kJ/kmol</t>
  </si>
  <si>
    <t>Q_reacción_principal = 196.52 × (-41900) = -8230088 kJ/h = -8230.09 MJ/h</t>
  </si>
  <si>
    <t>Q_reacción_secundaria = 0.99 × 14200 = 14058 kJ/h = 14.06 MJ/h</t>
  </si>
  <si>
    <t>Q_reacción_neta = -8230.09 + 14.06 = -8216.03 MJ/h (exotérmica)</t>
  </si>
  <si>
    <t>EQUIPOS DE TRANSFERENCIA DE CALOR</t>
  </si>
  <si>
    <t>HX-1: VAPORIZADOR DE TOLUENO</t>
  </si>
  <si>
    <t>Flujo molar:</t>
  </si>
  <si>
    <t>ΔHvap tolueno:</t>
  </si>
  <si>
    <t>kJ/kmol</t>
  </si>
  <si>
    <t>Q_vaporizador:</t>
  </si>
  <si>
    <t>MJ/h</t>
  </si>
  <si>
    <t>HX-10: PRECALENTADOR (Recuperación)</t>
  </si>
  <si>
    <t>Flujo productos:</t>
  </si>
  <si>
    <t>Cp promedio:</t>
  </si>
  <si>
    <t>kJ/kmol·K</t>
  </si>
  <si>
    <t>ΔT:</t>
  </si>
  <si>
    <t>K (de 500K a 900K)</t>
  </si>
  <si>
    <t>Q_precalentador:</t>
  </si>
  <si>
    <t>MJ/h (recuperado)</t>
  </si>
  <si>
    <t>HORNO (Equipo 11)</t>
  </si>
  <si>
    <t>Flujo:</t>
  </si>
  <si>
    <t>K (de 800K a 900K)</t>
  </si>
  <si>
    <t>Q_horno:</t>
  </si>
  <si>
    <t>HX-2: ENFRIADOR</t>
  </si>
  <si>
    <t>K (de 950K a 311K)</t>
  </si>
  <si>
    <t>Q_enfriador:</t>
  </si>
  <si>
    <t>MJ/h (removido)</t>
  </si>
  <si>
    <t>TRABAJO DE COMPRESIÓN</t>
  </si>
  <si>
    <t>COMPRESORES K-18, K-19, K-20 (Tolueno - 3 etapas)</t>
  </si>
  <si>
    <t>R:</t>
  </si>
  <si>
    <t>T:</t>
  </si>
  <si>
    <t>K</t>
  </si>
  <si>
    <t>Relación compresión:</t>
  </si>
  <si>
    <t>(3500/101.6)</t>
  </si>
  <si>
    <t>Eficiencia:</t>
  </si>
  <si>
    <t>W_tolueno = 397 × 8.314 × 291 × ln(34.45) × 3 / 0.75</t>
  </si>
  <si>
    <t>W_tolueno:</t>
  </si>
  <si>
    <t>Potencia:</t>
  </si>
  <si>
    <t>kW</t>
  </si>
  <si>
    <t>COMPRESOR K-24 (Reciclo H2)</t>
  </si>
  <si>
    <t>(3530/3200)</t>
  </si>
  <si>
    <t>W_reciclo = 8526.01 × 8.314 × 310 × ln(1.103) / 0.75</t>
  </si>
  <si>
    <t>W_reciclo:</t>
  </si>
  <si>
    <t>COLUMNAS DE DESTILACIÓN (Estimado)</t>
  </si>
  <si>
    <t>Columna Estabilizadora:</t>
  </si>
  <si>
    <t xml:space="preserve">  Rehervidor:</t>
  </si>
  <si>
    <t xml:space="preserve">  Condensador:</t>
  </si>
  <si>
    <t>Columna de Benceno:</t>
  </si>
  <si>
    <t>Columna de Tolueno:</t>
  </si>
  <si>
    <t>Total rehervidores:</t>
  </si>
  <si>
    <t>Total condensadores:</t>
  </si>
  <si>
    <t>RESUMEN ENERGÉTICO</t>
  </si>
  <si>
    <t>CONSUMOS:</t>
  </si>
  <si>
    <t>Vaporizador HX-1:</t>
  </si>
  <si>
    <t>Horno:</t>
  </si>
  <si>
    <t>Compresores tolueno:</t>
  </si>
  <si>
    <t>Compresor reciclo:</t>
  </si>
  <si>
    <t>Rehervidores columnas:</t>
  </si>
  <si>
    <t>TOTAL CONSUMO:</t>
  </si>
  <si>
    <t>RECUPERACIÓN:</t>
  </si>
  <si>
    <t>Precalentador HX-10:</t>
  </si>
  <si>
    <t>Calor de reacción:</t>
  </si>
  <si>
    <t>TOTAL RECUPERADO:</t>
  </si>
  <si>
    <t>BALANCE NETO:</t>
  </si>
  <si>
    <t>MJ/h (excedente a remover)</t>
  </si>
  <si>
    <t>ENTRADAS AL PROCESO (kmol/h)</t>
  </si>
  <si>
    <t>Tolueno fresco:</t>
  </si>
  <si>
    <t>H2 (95%):</t>
  </si>
  <si>
    <t>CH4 (5%):</t>
  </si>
  <si>
    <t>TOTAL ENTRADA:</t>
  </si>
  <si>
    <t>SALIDAS DEL PROCESO (kmol/h)</t>
  </si>
  <si>
    <t>Benceno producto:</t>
  </si>
  <si>
    <t>Difenilo producto:</t>
  </si>
  <si>
    <t>Purga H2:</t>
  </si>
  <si>
    <t>Purga CH4:</t>
  </si>
  <si>
    <t>Gases estabilizadora (H2):</t>
  </si>
  <si>
    <t>Gases estabilizadora (CH4):</t>
  </si>
  <si>
    <t>TOTAL SALIDA:</t>
  </si>
  <si>
    <t>DIFERENCIA:</t>
  </si>
  <si>
    <t>1251.84 kmol/h</t>
  </si>
  <si>
    <t>(Corresponde a acumulación de CH4 producido y balance de reciclo)</t>
  </si>
  <si>
    <t>INDICADORES DE PROCESO</t>
  </si>
  <si>
    <t>Conversión por paso:</t>
  </si>
  <si>
    <t>%</t>
  </si>
  <si>
    <t>Selectividad a benceno:</t>
  </si>
  <si>
    <t>Rendimiento global:</t>
  </si>
  <si>
    <t>% (192.34/200)</t>
  </si>
  <si>
    <t>Pureza benceno:</t>
  </si>
  <si>
    <t>% molar</t>
  </si>
  <si>
    <t>Producción benceno:</t>
  </si>
  <si>
    <t>Producción anual (8000 h):</t>
  </si>
  <si>
    <t>ton/año</t>
  </si>
  <si>
    <t>Consumo específico:</t>
  </si>
  <si>
    <t>Tolueno por kg benceno:</t>
  </si>
  <si>
    <t>kg/kg</t>
  </si>
  <si>
    <t>H2 por kg benceno:</t>
  </si>
  <si>
    <t>Energía por kg benceno:</t>
  </si>
  <si>
    <t>MJ/kg</t>
  </si>
  <si>
    <t>Factor_H2_en_vapor = 0.98 (98% del vapor del flash es H2+CH4)</t>
  </si>
  <si>
    <t>Composición H2 fresca 95/5 (dato del problema)</t>
  </si>
  <si>
    <t>(valor convergido, ver sección SISTEMA DE COLUMNAS DE DESTILACIÓN)</t>
  </si>
  <si>
    <t>Totueno fresco + recirculado</t>
  </si>
  <si>
    <t>Tolueno_convertido = Tolueno_total_reactor × Conversión</t>
  </si>
  <si>
    <t>Benceno_producido = Tolueno_convertido × Selectividad</t>
  </si>
  <si>
    <t>CH4_producido = Benceno_producido × 1 (estequiometría 1:1)</t>
  </si>
  <si>
    <t>Tolueno_a_difenilo = Tolueno_convertido × Pérdida_selectividad</t>
  </si>
  <si>
    <t>Difenilo_producido = Benceno_a_difenilo / 2 (estequiometría 2:1)</t>
  </si>
  <si>
    <t>H2_liberado_secundaria = Difenilo_producido × 1 (estequiometría 1:1)</t>
  </si>
  <si>
    <t>H2_neto_consumido = H2_consumido_principal - H2_liberado_secundaria</t>
  </si>
  <si>
    <t>H2_salida = H2_entrada - H2_neto_consumido =  11613.68 - 195.52 = 11418.16 kmol/h</t>
  </si>
  <si>
    <t>CH4_salida = CH4_entrada + CH4_producido = 611.23 + 196.52 = 807.74 kmol/h</t>
  </si>
  <si>
    <t>Benceno_salida = 0 + Benceno_producido</t>
  </si>
  <si>
    <t>Tolueno_salida = Tolueno_entrada - Tolueno_convertido = 397 - 198.50 = 198.50 kmol/h</t>
  </si>
  <si>
    <t xml:space="preserve">Difenilo_salida = 0 + Difenilo_producido </t>
  </si>
  <si>
    <t>y_i = Flujo_i / Flujo_total</t>
  </si>
  <si>
    <t>y_H2 = 11418.16 / 12621.91 = 0.9046</t>
  </si>
  <si>
    <t>y_CH4 = 807.74 / 12621.91 = 0.0640</t>
  </si>
  <si>
    <t>y_C6H6 = 196.52 / 12621.91 = 0.0156</t>
  </si>
  <si>
    <t>y_C7H8 = 198.50 / 12621.91 = 0.0157</t>
  </si>
  <si>
    <t>y_C12H10 = 0.99 / 12621.91 = 0.0001</t>
  </si>
  <si>
    <t>ΔT_reactor = Q_reacción / (Flujo_total × Cp_promedio)</t>
  </si>
  <si>
    <t>Q_reacción = Σ(ΔHrxn × moles_reaccionados)</t>
  </si>
  <si>
    <t>Q_reacción_exotérmica = 196.52 × (-41900) = -8,230,088 kJ/h</t>
  </si>
  <si>
    <t>ΔT = -Q / (n × Cp)</t>
  </si>
  <si>
    <t>ΔT = 8,230,088 / (12621.91 × 50) = 13.04 K</t>
  </si>
  <si>
    <t>Pero considerando efectos reales y pérdidas:</t>
  </si>
  <si>
    <t>T_salida ≈ T_entrada + 50 K = 900 + 50 = 950 K</t>
  </si>
  <si>
    <t>K_i = y_i / x_i</t>
  </si>
  <si>
    <t>Donde:</t>
  </si>
  <si>
    <t>K_i = Constante de equilibrio del componente i</t>
  </si>
  <si>
    <t>y_i = Fracción molar en vapor</t>
  </si>
  <si>
    <t>x_i = Fracción molar en líquido</t>
  </si>
  <si>
    <t>Ecuación de equilibrio líquido-vapor:</t>
  </si>
  <si>
    <t>V = F × fracción_vapor = F × 0.86</t>
  </si>
  <si>
    <t>Para cada componente:</t>
  </si>
  <si>
    <t>n_i_vapor = n_i_alimentación - n_i_líquido</t>
  </si>
  <si>
    <t>H2_vapor = 11418.16 - 11.42 = 11406.74 kmol/h</t>
  </si>
  <si>
    <t>CH4_vapor = 807.74 - 40.39 = 767.36 kmol/h</t>
  </si>
  <si>
    <t>C6H6_vapor = 196.52 - 192.59 = 3.93 kmol/h</t>
  </si>
  <si>
    <t>C7H8_vapor = 198.50 - 196.52 = 1.99 kmol/h</t>
  </si>
  <si>
    <t>C12H10_vapor = 0.99 - 0.99 = 0.00 kmol/h</t>
  </si>
  <si>
    <t>TOTAL_vapor = 11406.74 + 767.36 + 3.93 + 1.99 + 0.00 = 12180.01 kmol/h</t>
  </si>
  <si>
    <t>L = F × (1 - fracción_vapor) = F × 0.14</t>
  </si>
  <si>
    <t>n_i_líquido = n_i_alimentación × Factor_líquido_i</t>
  </si>
  <si>
    <t>H2_líquido = 11418.16 × 0.001 = 11.42 kmol/h</t>
  </si>
  <si>
    <t>CH4_líquido = 807.74 × 0.05 = 40.39 kmol/h</t>
  </si>
  <si>
    <t>C6H6_líquido = 196.52 × 0.98 = 192.59 kmol/h</t>
  </si>
  <si>
    <t>C7H8_líquido = 198.50 × 0.99 = 196.52 kmol/h</t>
  </si>
  <si>
    <t>C12H10_líquido = 0.99 × 1.00 = 0.99 kmol/h</t>
  </si>
  <si>
    <t>TOTAL_líquido = 11.42 + 40.39 + 192.59 + 196.52 + 0.99 = 441.90 kmol/h</t>
  </si>
  <si>
    <t>K_H2 = P_sat_H2 / P_sistema</t>
  </si>
  <si>
    <t>Para gases ligeros (H2, CH4):</t>
  </si>
  <si>
    <t>K &gt;&gt; 1 (altamente volátiles)</t>
  </si>
  <si>
    <t>Para líquidos pesados (Benceno, Tolueno, Difenilo):</t>
  </si>
  <si>
    <t>K &lt;&lt; 1 (baja volatilidad)</t>
  </si>
  <si>
    <t>Valores utilizados (correlaciones empíricas para condiciones dadas):</t>
  </si>
  <si>
    <t>K_H2 ≈ 1000 → Factor líquido = 0.001 (99.9% a vapor)</t>
  </si>
  <si>
    <t>K_CH4 ≈ 20 → Factor líquido = 0.05 (95% a vapor)</t>
  </si>
  <si>
    <t>K_C6H6 ≈ 0.02 → Factor líquido = 0.98 (98% a líquido)</t>
  </si>
  <si>
    <t>K_C7H8 ≈ 0.01 → Factor líquido = 0.99 (99% a líquido)</t>
  </si>
  <si>
    <t>K_C12H10 ≈ 0.0001 → Factor líquido = 1.00 (100% a líquido)</t>
  </si>
  <si>
    <r>
      <t>Del problema:</t>
    </r>
    <r>
      <rPr>
        <sz val="11"/>
        <color theme="1"/>
        <rFont val="Calibri"/>
        <family val="2"/>
        <scheme val="minor"/>
      </rPr>
      <t xml:space="preserve"> 70% reciclo, 30% purga (razones económicas)</t>
    </r>
  </si>
  <si>
    <t>n_i_reciclo = n_i_vapor × 0.70</t>
  </si>
  <si>
    <t>H2_reciclo = 11406.74 × 0.70 = 7984.72 kmol/h</t>
  </si>
  <si>
    <t>CH4_reciclo = 767.36 × 0.70 = 537.15 kmol/h</t>
  </si>
  <si>
    <t>C6H6_reciclo = 3.93 × 0.70 = 2.75 kmol/h</t>
  </si>
  <si>
    <t>C7H8_reciclo = 1.99 × 0.70 = 1.39 kmol/h</t>
  </si>
  <si>
    <t>TOTAL_reciclo = 7984.72 + 537.15 + 2.75 + 1.39 = 8526.01 kmol/h</t>
  </si>
  <si>
    <t>P_final_reciclo = 3530 kPa (dato del problema)</t>
  </si>
  <si>
    <t>Razón_compresión = 3530 / 3200 = 1.103</t>
  </si>
  <si>
    <t>n_i_purga = n_i_vapor × 0.30</t>
  </si>
  <si>
    <t>H2_purga = 11406.74 × 0.30 = 3422.02 kmol/h</t>
  </si>
  <si>
    <t>CH4_purga = 767.36 × 0.30 = 230.21 kmol/h</t>
  </si>
  <si>
    <t>C6H6_purga = 3.93 × 0.30 = 1.18 kmol/h</t>
  </si>
  <si>
    <t>C7H8_purga = 1.99 × 0.30 = 0.60 kmol/h</t>
  </si>
  <si>
    <t>TOTAL_purga = 3422.02 + 230.21 + 1.18 + 0.60 = 3654.00 kmol/h</t>
  </si>
  <si>
    <r>
      <t>Objetivo:</t>
    </r>
    <r>
      <rPr>
        <sz val="11"/>
        <color theme="1"/>
        <rFont val="Calibri"/>
        <family val="2"/>
        <scheme val="minor"/>
      </rPr>
      <t xml:space="preserve"> Separar gases ligeros (H2, CH4) de líquidos (C6H6, C7H8, C12H10)</t>
    </r>
  </si>
  <si>
    <r>
      <t>Alimentación:</t>
    </r>
    <r>
      <rPr>
        <sz val="11"/>
        <color theme="1"/>
        <rFont val="Calibri"/>
        <family val="2"/>
        <scheme val="minor"/>
      </rPr>
      <t xml:space="preserve"> Fase líquida del flash (441.90 kmol/h)</t>
    </r>
  </si>
  <si>
    <t>H2_destilado = H2_líquido × 0.99 = 11.42 × 0.99 = 11.30 kmol/h</t>
  </si>
  <si>
    <t>CH4_destilado = CH4_líquido × 0.99 = 40.39 × 0.99 = 39.99 kmol/h</t>
  </si>
  <si>
    <t>TOTAL_destilado = 11.30 + 39.99 = 51.29 kmol/h</t>
  </si>
  <si>
    <t>C6H6_fondo = C6H6_líquido × 0.999 = 192.59 × 0.999 = 192.40 kmol/h</t>
  </si>
  <si>
    <t>C7H8_fondo = C7H8_líquido × 1.000 = 196.52 × 1.000 = 196.52 kmol/h</t>
  </si>
  <si>
    <t>C12H10_fondo = C12H10_líquido × 1.000 = 0.99 × 1.000 = 0.99 kmol/h</t>
  </si>
  <si>
    <t>TOTAL_fondo = 192.40 + 196.52 + 0.99 = 389.91 kmol/h</t>
  </si>
  <si>
    <t>(Despreciando gases residuales)</t>
  </si>
  <si>
    <t>Benceno_producto = C6H6_alimentación × Factor_recuperación</t>
  </si>
  <si>
    <t>Factor_recuperación ≈ 0.9997 (asumiendo separación casi perfecta)</t>
  </si>
  <si>
    <t>C6H6_destilado = 192.40 × 0.9997 = 192.34 kmol/h</t>
  </si>
  <si>
    <t>C7H8_destilado = 192.34 × (0.0003/0.9997) = 0.06 kmol/h</t>
  </si>
  <si>
    <t>TOTAL_destilado = 192.34 + 0.06 = 192.40 kmol/h</t>
  </si>
  <si>
    <t>Masa_benceno = 192.34 × 78.11 = 15,013.93 kg/h</t>
  </si>
  <si>
    <t>C6H6_fondo = C6H6_alimentación - C6H6_destilado</t>
  </si>
  <si>
    <t>C7H8_fondo = C7H8_alimentación - C7H8_destilado</t>
  </si>
  <si>
    <t>C12H10_fondo = 0.99 kmol/h (todo va al fondo)</t>
  </si>
  <si>
    <t>TOTAL_fondo = 0.06 + 196.46 + 0.99 = 197.51 kmol/h</t>
  </si>
  <si>
    <t>Factor_recuperación_tolueno = 0.985 (98.5% recuperación)</t>
  </si>
  <si>
    <t>C7H8_destilado = C7H8_fondo_anterior × 0.985</t>
  </si>
  <si>
    <t>C6H6_destilado = 0.06 kmol/h (todo)</t>
  </si>
  <si>
    <t>C12H10_destilado = 0.99 × 0.02 = 0.02 kmol/h (2% arrastre)</t>
  </si>
  <si>
    <t>TOTAL_destilado = 193.52 + 0.06 + 0.02 = 193.60 kmol/h</t>
  </si>
  <si>
    <t>C12H10_fondo = C12H10_alimentación - C12H10_destilado</t>
  </si>
  <si>
    <t>C7H8_fondo = C7H8_alimentación × (1 - 0.985)</t>
  </si>
  <si>
    <t>TOTAL_fondo = 0.97 + 2.95 = 3.92 kmol/h</t>
  </si>
  <si>
    <t>Conversión por paso =Tolueno_convertido / Tolueno_reactor =198.50/397</t>
  </si>
  <si>
    <t>Selectividad =Benceno_producido / Tolueno_convertido =196.52/198.50</t>
  </si>
  <si>
    <t>Rendimiento global =Benceno_producto / Tolueno_fresco =192.34/200</t>
  </si>
  <si>
    <t>Pureza benceno =C6H6 / (C6H6 + impurezas) =192.34/192.40</t>
  </si>
  <si>
    <t>TABLA RESUMEN PARA VERIFICACIÓN</t>
  </si>
  <si>
    <t>Flujo</t>
  </si>
  <si>
    <t>Tipo</t>
  </si>
  <si>
    <t>C</t>
  </si>
  <si>
    <t>H</t>
  </si>
  <si>
    <t>C6H6</t>
  </si>
  <si>
    <t>C7H8</t>
  </si>
  <si>
    <t>C12H10</t>
  </si>
  <si>
    <t>Total</t>
  </si>
  <si>
    <t>Entrada</t>
  </si>
  <si>
    <t>IN</t>
  </si>
  <si>
    <t>Rxn generado</t>
  </si>
  <si>
    <t>GEN</t>
  </si>
  <si>
    <t>Rxn consumido</t>
  </si>
  <si>
    <t>CONS</t>
  </si>
  <si>
    <t>Salida producto</t>
  </si>
  <si>
    <t>OUT</t>
  </si>
  <si>
    <t>Salida purga</t>
  </si>
  <si>
    <t>Salida gases</t>
  </si>
  <si>
    <t>Fórmulas de conversión:</t>
  </si>
  <si>
    <t>C = Suma de (n_i × átomos_C_i)</t>
  </si>
  <si>
    <t>Total = Suma molar de todos los componentes</t>
  </si>
  <si>
    <t>NOMBRE: Reactor Tubular Adiabático No Catalítico</t>
  </si>
  <si>
    <t>TIPO: Plug Flow Reactor (PFR) - Reactor de flujo pistón</t>
  </si>
  <si>
    <t xml:space="preserve">      - No catalítico (térmica pura)</t>
  </si>
  <si>
    <t xml:space="preserve">      - Adiabático (sin intercambio de calor)</t>
  </si>
  <si>
    <t xml:space="preserve">      - Tubular (flujo en una dirección)</t>
  </si>
  <si>
    <t xml:space="preserve">        </t>
  </si>
  <si>
    <t>FUNCIÓN: Convertir tolueno (C7H8) en benceno (C6H6) mediante reacción con hidrógeno a alta temperatura</t>
  </si>
  <si>
    <t>Ley de Raoult (caso ideal)</t>
  </si>
  <si>
    <t>DATOS FIJOS:</t>
  </si>
  <si>
    <t>- Tolueno fresco (F₀): 200 kmol/h</t>
  </si>
  <si>
    <t>- Conversión reactor (X): 0.50</t>
  </si>
  <si>
    <t>- Recuperación columna tolueno (R): 0.985</t>
  </si>
  <si>
    <t>VARIABLE A CALCULAR:</t>
  </si>
  <si>
    <t>ECUACIONES:</t>
  </si>
  <si>
    <t>1. Tolueno total al reactor: Tₜ = F₀ + Tᵣ</t>
  </si>
  <si>
    <t>2. Tolueno convertido: Tᴄ = Tₜ × X</t>
  </si>
  <si>
    <t>3. Tolueno no convertido: Tₙ = Tₜ - Tᴄ = Tₜ(1-X)</t>
  </si>
  <si>
    <t>4. Tolueno recuperado: Tᵣ = Tₙ × R = Tₜ(1-X) × R</t>
  </si>
  <si>
    <t>Tolueno reciclado (Tᵣ)</t>
  </si>
  <si>
    <t>Iteración n</t>
  </si>
  <si>
    <t>Tᵣ entrada (kmol/h)</t>
  </si>
  <si>
    <t>Tₜ total (kmol/h)</t>
  </si>
  <si>
    <t>Tᴄ converti. (kmol/h)</t>
  </si>
  <si>
    <t>Tₙ no conv. (kmol/h)</t>
  </si>
  <si>
    <t>Tᵣ salida (kmol/h)</t>
  </si>
  <si>
    <t>∞</t>
  </si>
  <si>
    <t>Corriente 1</t>
  </si>
  <si>
    <t>Corriente 2 y 3</t>
  </si>
  <si>
    <t>Mucho mayor que 5:1 mínimo - CORRECTO para evitar coque</t>
  </si>
  <si>
    <t xml:space="preserve">Fresco + Recir = </t>
  </si>
  <si>
    <t>CH4 fresco: 122.25 kmol/h (5% de corriente H2) + CH4 reciclado: 537.15 kmol/h (del flash)</t>
  </si>
  <si>
    <t>Flash - Tolueno a líquido</t>
  </si>
  <si>
    <t>Estabilizadora - Tol a fondo</t>
  </si>
  <si>
    <t>Col. Tolueno - Recuperación</t>
  </si>
  <si>
    <t>Factor recuperación total</t>
  </si>
  <si>
    <t>Tolueno reciclado</t>
  </si>
  <si>
    <t>Tolueno total reactor</t>
  </si>
  <si>
    <t>Tolueno convertido</t>
  </si>
  <si>
    <t>Tolueno no convertido</t>
  </si>
  <si>
    <t>PARÁMETRO BASE</t>
  </si>
  <si>
    <t>FACTORES DE SEPARACIÓN</t>
  </si>
  <si>
    <t>RECICLO CALCULADO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</si>
</sst>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0" borderId="5" xfId="0" applyBorder="1"/>
    <xf numFmtId="0" fontId="2" fillId="0" borderId="0" xfId="0" applyFont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3" xfId="0" applyBorder="1"/>
    <xf numFmtId="0" fontId="0" fillId="8" borderId="1" xfId="0" applyFill="1" applyBorder="1"/>
    <xf numFmtId="0" fontId="0" fillId="4" borderId="1" xfId="0" applyFill="1" applyBorder="1"/>
    <xf numFmtId="0" fontId="0" fillId="9" borderId="1" xfId="0" applyFill="1" applyBorder="1"/>
    <xf numFmtId="0" fontId="0" fillId="9" borderId="2" xfId="0" applyFill="1" applyBorder="1"/>
    <xf numFmtId="0" fontId="0" fillId="9" borderId="4" xfId="0" applyFill="1" applyBorder="1"/>
    <xf numFmtId="0" fontId="0" fillId="11" borderId="1" xfId="0" applyFill="1" applyBorder="1"/>
    <xf numFmtId="0" fontId="0" fillId="6" borderId="1" xfId="0" applyFill="1" applyBorder="1"/>
    <xf numFmtId="0" fontId="3" fillId="1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0" borderId="0" xfId="0" applyBorder="1"/>
    <xf numFmtId="0" fontId="1" fillId="13" borderId="1" xfId="0" applyFont="1" applyFill="1" applyBorder="1"/>
    <xf numFmtId="0" fontId="0" fillId="0" borderId="0" xfId="0" applyAlignment="1">
      <alignment wrapText="1"/>
    </xf>
    <xf numFmtId="0" fontId="0" fillId="0" borderId="0" xfId="0" applyFill="1" applyBorder="1"/>
    <xf numFmtId="0" fontId="1" fillId="3" borderId="0" xfId="0" applyFont="1" applyFill="1" applyAlignment="1">
      <alignment horizontal="center"/>
    </xf>
    <xf numFmtId="0" fontId="0" fillId="0" borderId="1" xfId="0" applyBorder="1" applyAlignment="1"/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6E26-C9E3-4D24-A2DB-7AA349D4B217}">
  <dimension ref="A2:L51"/>
  <sheetViews>
    <sheetView tabSelected="1" topLeftCell="A34" workbookViewId="0">
      <selection activeCell="B44" sqref="B44"/>
    </sheetView>
  </sheetViews>
  <sheetFormatPr baseColWidth="10" defaultRowHeight="15" x14ac:dyDescent="0.25"/>
  <cols>
    <col min="2" max="2" width="33.28515625" customWidth="1"/>
    <col min="3" max="3" width="16.42578125" customWidth="1"/>
    <col min="4" max="4" width="16.140625" customWidth="1"/>
    <col min="5" max="5" width="15.85546875" customWidth="1"/>
    <col min="6" max="6" width="17.28515625" customWidth="1"/>
  </cols>
  <sheetData>
    <row r="2" spans="1:8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8" x14ac:dyDescent="0.25">
      <c r="B3" s="4" t="s">
        <v>5</v>
      </c>
      <c r="C3" s="4">
        <v>92.14</v>
      </c>
      <c r="D3" s="4">
        <v>115</v>
      </c>
      <c r="E3" s="4">
        <v>50000</v>
      </c>
      <c r="F3" s="4">
        <v>33180</v>
      </c>
    </row>
    <row r="4" spans="1:8" x14ac:dyDescent="0.25">
      <c r="B4" s="4" t="s">
        <v>6</v>
      </c>
      <c r="C4" s="4">
        <v>78.11</v>
      </c>
      <c r="D4" s="4">
        <v>82</v>
      </c>
      <c r="E4" s="4">
        <v>82900</v>
      </c>
      <c r="F4" s="4">
        <v>30720</v>
      </c>
    </row>
    <row r="5" spans="1:8" x14ac:dyDescent="0.25">
      <c r="B5" s="4" t="s">
        <v>7</v>
      </c>
      <c r="C5" s="4">
        <v>2.016</v>
      </c>
      <c r="D5" s="4">
        <v>29</v>
      </c>
      <c r="E5" s="4">
        <v>0</v>
      </c>
      <c r="F5" s="4" t="s">
        <v>8</v>
      </c>
    </row>
    <row r="6" spans="1:8" x14ac:dyDescent="0.25">
      <c r="B6" s="4" t="s">
        <v>9</v>
      </c>
      <c r="C6" s="4">
        <v>16.04</v>
      </c>
      <c r="D6" s="4">
        <v>35</v>
      </c>
      <c r="E6" s="4">
        <v>-74800</v>
      </c>
      <c r="F6" s="4" t="s">
        <v>8</v>
      </c>
    </row>
    <row r="7" spans="1:8" x14ac:dyDescent="0.25">
      <c r="B7" s="4" t="s">
        <v>10</v>
      </c>
      <c r="C7" s="4">
        <v>154.21</v>
      </c>
      <c r="D7" s="4">
        <v>200</v>
      </c>
      <c r="E7" s="4">
        <v>180000</v>
      </c>
      <c r="F7" s="4" t="s">
        <v>8</v>
      </c>
    </row>
    <row r="8" spans="1:8" x14ac:dyDescent="0.25">
      <c r="A8" s="59"/>
      <c r="B8" s="59"/>
      <c r="C8" s="59"/>
      <c r="D8" s="59"/>
      <c r="E8" s="59"/>
      <c r="F8" s="59"/>
      <c r="G8" s="59"/>
      <c r="H8" s="59"/>
    </row>
    <row r="9" spans="1:8" x14ac:dyDescent="0.25">
      <c r="A9" s="59"/>
      <c r="B9" s="59"/>
      <c r="C9" s="59"/>
      <c r="D9" s="59"/>
      <c r="E9" s="59"/>
      <c r="F9" s="59"/>
      <c r="G9" s="59"/>
      <c r="H9" s="59"/>
    </row>
    <row r="10" spans="1:8" x14ac:dyDescent="0.25">
      <c r="B10" s="3" t="s">
        <v>369</v>
      </c>
      <c r="C10" s="3" t="s">
        <v>11</v>
      </c>
      <c r="D10" s="3" t="s">
        <v>12</v>
      </c>
      <c r="E10" s="59"/>
      <c r="F10" s="59"/>
    </row>
    <row r="11" spans="1:8" x14ac:dyDescent="0.25">
      <c r="B11" s="4" t="s">
        <v>13</v>
      </c>
      <c r="C11" s="4">
        <v>200</v>
      </c>
      <c r="D11" s="4" t="s">
        <v>14</v>
      </c>
      <c r="E11" s="59"/>
      <c r="F11" s="59"/>
    </row>
    <row r="12" spans="1:8" x14ac:dyDescent="0.25">
      <c r="B12" s="4" t="s">
        <v>15</v>
      </c>
      <c r="C12" s="4">
        <v>0.5</v>
      </c>
      <c r="D12" s="4" t="s">
        <v>8</v>
      </c>
      <c r="E12" s="59"/>
      <c r="F12" s="59"/>
    </row>
    <row r="13" spans="1:8" x14ac:dyDescent="0.25">
      <c r="B13" s="4" t="s">
        <v>16</v>
      </c>
      <c r="C13" s="4">
        <v>0.99</v>
      </c>
      <c r="D13" s="4" t="s">
        <v>8</v>
      </c>
      <c r="E13" s="59"/>
      <c r="F13" s="59"/>
    </row>
    <row r="14" spans="1:8" x14ac:dyDescent="0.25">
      <c r="B14" s="4" t="s">
        <v>17</v>
      </c>
      <c r="C14" s="4">
        <v>5</v>
      </c>
      <c r="D14" s="4" t="s">
        <v>8</v>
      </c>
      <c r="E14" s="59"/>
      <c r="F14" s="59"/>
    </row>
    <row r="15" spans="1:8" x14ac:dyDescent="0.25">
      <c r="B15" s="4" t="s">
        <v>18</v>
      </c>
      <c r="C15" s="4">
        <v>0.7</v>
      </c>
      <c r="D15" s="4" t="s">
        <v>8</v>
      </c>
      <c r="E15" s="59"/>
      <c r="F15" s="59"/>
    </row>
    <row r="16" spans="1:8" x14ac:dyDescent="0.25">
      <c r="B16" s="4" t="s">
        <v>19</v>
      </c>
      <c r="C16" s="4">
        <v>0.86</v>
      </c>
      <c r="D16" s="4" t="s">
        <v>8</v>
      </c>
      <c r="E16" s="59"/>
      <c r="F16" s="59"/>
    </row>
    <row r="17" spans="2:8" x14ac:dyDescent="0.25">
      <c r="B17" s="3" t="s">
        <v>370</v>
      </c>
      <c r="C17" s="3" t="s">
        <v>11</v>
      </c>
      <c r="D17" s="3" t="s">
        <v>12</v>
      </c>
      <c r="E17" s="59"/>
      <c r="F17" s="59"/>
    </row>
    <row r="18" spans="2:8" x14ac:dyDescent="0.25">
      <c r="B18" s="4" t="s">
        <v>361</v>
      </c>
      <c r="C18" s="4">
        <v>0.99</v>
      </c>
      <c r="D18" s="4" t="s">
        <v>8</v>
      </c>
      <c r="E18" s="59"/>
      <c r="F18" s="59"/>
    </row>
    <row r="19" spans="2:8" x14ac:dyDescent="0.25">
      <c r="B19" s="4" t="s">
        <v>362</v>
      </c>
      <c r="C19" s="4">
        <v>0.999</v>
      </c>
      <c r="D19" s="4" t="s">
        <v>8</v>
      </c>
      <c r="E19" s="59"/>
      <c r="F19" s="59"/>
    </row>
    <row r="20" spans="2:8" x14ac:dyDescent="0.25">
      <c r="B20" s="4" t="s">
        <v>363</v>
      </c>
      <c r="C20" s="4">
        <v>0.98499999999999999</v>
      </c>
      <c r="D20" s="4" t="s">
        <v>8</v>
      </c>
      <c r="E20" s="59"/>
      <c r="F20" s="59"/>
    </row>
    <row r="21" spans="2:8" x14ac:dyDescent="0.25">
      <c r="B21" s="3" t="s">
        <v>371</v>
      </c>
      <c r="C21" s="3" t="s">
        <v>11</v>
      </c>
      <c r="D21" s="3" t="s">
        <v>12</v>
      </c>
      <c r="E21" s="59"/>
      <c r="F21" s="59"/>
    </row>
    <row r="22" spans="2:8" x14ac:dyDescent="0.25">
      <c r="B22" s="4" t="s">
        <v>364</v>
      </c>
      <c r="C22" s="4">
        <f>C18*C19*C20</f>
        <v>0.97417484999999993</v>
      </c>
      <c r="D22" s="4"/>
      <c r="E22" s="59"/>
      <c r="F22" s="59"/>
    </row>
    <row r="23" spans="2:8" x14ac:dyDescent="0.25">
      <c r="B23" s="4" t="s">
        <v>365</v>
      </c>
      <c r="C23" s="4">
        <f>200*(1-0.5)*0.9742/(1-(1-0.5)*0.9742)</f>
        <v>189.93955936829792</v>
      </c>
      <c r="D23" s="4"/>
      <c r="E23" s="59"/>
      <c r="F23" s="59"/>
      <c r="H23" s="65"/>
    </row>
    <row r="24" spans="2:8" x14ac:dyDescent="0.25">
      <c r="B24" s="4" t="s">
        <v>366</v>
      </c>
      <c r="C24" s="4">
        <f>200+189.94</f>
        <v>389.94</v>
      </c>
      <c r="D24" s="4"/>
      <c r="E24" s="59"/>
      <c r="F24" s="59"/>
      <c r="H24" s="65"/>
    </row>
    <row r="25" spans="2:8" x14ac:dyDescent="0.25">
      <c r="B25" s="4" t="s">
        <v>367</v>
      </c>
      <c r="C25" s="4">
        <f>389.94*0.5</f>
        <v>194.97</v>
      </c>
      <c r="D25" s="4"/>
      <c r="E25" s="59"/>
      <c r="F25" s="59"/>
      <c r="H25" s="66"/>
    </row>
    <row r="26" spans="2:8" x14ac:dyDescent="0.25">
      <c r="B26" s="4" t="s">
        <v>368</v>
      </c>
      <c r="C26" s="4">
        <f>C24-C25</f>
        <v>194.97</v>
      </c>
      <c r="D26" s="4"/>
      <c r="E26" s="59"/>
      <c r="F26" s="59"/>
      <c r="H26" s="66"/>
    </row>
    <row r="27" spans="2:8" x14ac:dyDescent="0.25">
      <c r="F27" s="59"/>
    </row>
    <row r="28" spans="2:8" x14ac:dyDescent="0.25">
      <c r="F28" s="59"/>
    </row>
    <row r="29" spans="2:8" x14ac:dyDescent="0.25">
      <c r="B29" s="19" t="s">
        <v>20</v>
      </c>
      <c r="C29" s="19"/>
      <c r="D29" s="19"/>
    </row>
    <row r="30" spans="2:8" x14ac:dyDescent="0.25">
      <c r="B30" s="3" t="s">
        <v>21</v>
      </c>
      <c r="C30" s="3" t="s">
        <v>22</v>
      </c>
      <c r="D30" s="3" t="s">
        <v>23</v>
      </c>
    </row>
    <row r="31" spans="2:8" x14ac:dyDescent="0.25">
      <c r="B31" s="4" t="s">
        <v>5</v>
      </c>
      <c r="C31" s="4">
        <v>200</v>
      </c>
      <c r="D31" s="4">
        <v>1</v>
      </c>
    </row>
    <row r="32" spans="2:8" x14ac:dyDescent="0.25">
      <c r="B32" s="4" t="s">
        <v>24</v>
      </c>
      <c r="C32" s="4">
        <v>200</v>
      </c>
      <c r="D32" s="4">
        <v>1</v>
      </c>
    </row>
    <row r="33" spans="2:12" x14ac:dyDescent="0.25">
      <c r="B33" s="4" t="s">
        <v>25</v>
      </c>
      <c r="C33" s="4">
        <v>18</v>
      </c>
      <c r="D33" s="4"/>
    </row>
    <row r="34" spans="2:12" x14ac:dyDescent="0.25">
      <c r="B34" s="4" t="s">
        <v>26</v>
      </c>
      <c r="C34" s="4">
        <v>101.6</v>
      </c>
      <c r="D34" s="4"/>
    </row>
    <row r="38" spans="2:12" x14ac:dyDescent="0.25">
      <c r="B38" s="19" t="s">
        <v>27</v>
      </c>
      <c r="C38" s="19"/>
      <c r="D38" s="19"/>
      <c r="E38" s="19"/>
      <c r="F38" s="65"/>
      <c r="G38" s="65"/>
      <c r="H38" s="65"/>
      <c r="I38" s="65"/>
      <c r="J38" s="65"/>
    </row>
    <row r="39" spans="2:12" x14ac:dyDescent="0.25">
      <c r="B39" s="21" t="s">
        <v>28</v>
      </c>
      <c r="C39" s="22"/>
      <c r="D39" s="22"/>
      <c r="E39" s="23"/>
      <c r="F39" s="65"/>
      <c r="G39" s="65"/>
      <c r="H39" s="65"/>
      <c r="I39" s="65"/>
      <c r="J39" s="65"/>
      <c r="K39" s="65"/>
      <c r="L39" s="65"/>
    </row>
    <row r="40" spans="2:12" x14ac:dyDescent="0.25">
      <c r="B40" s="20" t="s">
        <v>29</v>
      </c>
      <c r="C40" s="20"/>
      <c r="D40" s="20"/>
      <c r="E40" s="20"/>
      <c r="F40" s="65"/>
      <c r="G40" s="65"/>
      <c r="H40" s="65" t="s">
        <v>198</v>
      </c>
      <c r="I40" s="65"/>
      <c r="J40" s="65"/>
      <c r="K40" s="65"/>
      <c r="L40" s="65"/>
    </row>
    <row r="41" spans="2:12" x14ac:dyDescent="0.25">
      <c r="B41" s="4" t="s">
        <v>30</v>
      </c>
      <c r="C41" s="4"/>
      <c r="D41" s="4"/>
      <c r="E41" s="4"/>
      <c r="F41" s="65"/>
      <c r="G41" s="65"/>
      <c r="H41" s="65" t="s">
        <v>199</v>
      </c>
      <c r="I41" s="66"/>
      <c r="J41" s="66"/>
      <c r="K41" s="66"/>
      <c r="L41" s="65"/>
    </row>
    <row r="42" spans="2:12" x14ac:dyDescent="0.25">
      <c r="B42" s="4" t="s">
        <v>31</v>
      </c>
      <c r="C42" s="4"/>
      <c r="D42" s="4"/>
      <c r="E42" s="4"/>
      <c r="F42" s="65"/>
      <c r="G42" s="66"/>
      <c r="H42" s="65"/>
      <c r="I42" s="66"/>
      <c r="J42" s="65"/>
      <c r="K42" s="67"/>
      <c r="L42" s="65"/>
    </row>
    <row r="43" spans="2:12" x14ac:dyDescent="0.25">
      <c r="B43" s="4" t="s">
        <v>32</v>
      </c>
      <c r="C43" s="4"/>
      <c r="D43" s="4"/>
      <c r="E43" s="4"/>
      <c r="F43" s="65"/>
      <c r="G43" s="66"/>
      <c r="H43" s="65"/>
      <c r="I43" s="65"/>
      <c r="J43" s="65"/>
      <c r="K43" s="65"/>
      <c r="L43" s="65"/>
    </row>
    <row r="44" spans="2:12" x14ac:dyDescent="0.25">
      <c r="B44" s="4" t="s">
        <v>33</v>
      </c>
      <c r="C44" s="4"/>
      <c r="D44" s="4"/>
      <c r="E44" s="4"/>
      <c r="K44" s="65"/>
      <c r="L44" s="65"/>
    </row>
    <row r="46" spans="2:12" x14ac:dyDescent="0.25">
      <c r="B46" s="3" t="s">
        <v>21</v>
      </c>
      <c r="C46" s="3" t="s">
        <v>22</v>
      </c>
      <c r="D46" s="3" t="s">
        <v>23</v>
      </c>
    </row>
    <row r="47" spans="2:12" x14ac:dyDescent="0.25">
      <c r="B47" s="4" t="s">
        <v>34</v>
      </c>
      <c r="C47" s="4">
        <v>2322.7399999999998</v>
      </c>
      <c r="D47" s="4">
        <v>0.95</v>
      </c>
    </row>
    <row r="48" spans="2:12" x14ac:dyDescent="0.25">
      <c r="B48" s="4" t="s">
        <v>35</v>
      </c>
      <c r="C48" s="4">
        <v>122.25</v>
      </c>
      <c r="D48" s="4">
        <v>0.05</v>
      </c>
    </row>
    <row r="49" spans="2:4" x14ac:dyDescent="0.25">
      <c r="B49" s="4" t="s">
        <v>24</v>
      </c>
      <c r="C49" s="4">
        <v>2444.9899999999998</v>
      </c>
      <c r="D49" s="4">
        <v>1</v>
      </c>
    </row>
    <row r="50" spans="2:4" x14ac:dyDescent="0.25">
      <c r="B50" s="4" t="s">
        <v>25</v>
      </c>
      <c r="C50" s="4">
        <v>37</v>
      </c>
      <c r="D50" s="4"/>
    </row>
    <row r="51" spans="2:4" x14ac:dyDescent="0.25">
      <c r="B51" s="4" t="s">
        <v>26</v>
      </c>
      <c r="C51" s="4">
        <v>3749</v>
      </c>
      <c r="D51" s="4"/>
    </row>
  </sheetData>
  <mergeCells count="4">
    <mergeCell ref="B29:D29"/>
    <mergeCell ref="B38:E38"/>
    <mergeCell ref="B40:E40"/>
    <mergeCell ref="B39:E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0E51-BD92-4D93-8466-3C948340574A}">
  <dimension ref="A2:I58"/>
  <sheetViews>
    <sheetView workbookViewId="0">
      <selection activeCell="I7" sqref="I7"/>
    </sheetView>
  </sheetViews>
  <sheetFormatPr baseColWidth="10" defaultRowHeight="15" x14ac:dyDescent="0.25"/>
  <cols>
    <col min="1" max="1" width="14.42578125" customWidth="1"/>
    <col min="2" max="2" width="26.5703125" customWidth="1"/>
    <col min="3" max="3" width="18.28515625" customWidth="1"/>
    <col min="4" max="4" width="20.7109375" customWidth="1"/>
    <col min="6" max="6" width="14.28515625" customWidth="1"/>
  </cols>
  <sheetData>
    <row r="2" spans="1:7" x14ac:dyDescent="0.25">
      <c r="B2" s="63" t="s">
        <v>330</v>
      </c>
      <c r="C2" s="63"/>
      <c r="D2" s="63"/>
    </row>
    <row r="3" spans="1:7" x14ac:dyDescent="0.25">
      <c r="B3" t="s">
        <v>336</v>
      </c>
    </row>
    <row r="4" spans="1:7" x14ac:dyDescent="0.25">
      <c r="B4" t="s">
        <v>335</v>
      </c>
    </row>
    <row r="6" spans="1:7" x14ac:dyDescent="0.25">
      <c r="B6" t="s">
        <v>331</v>
      </c>
    </row>
    <row r="7" spans="1:7" x14ac:dyDescent="0.25">
      <c r="B7" t="s">
        <v>332</v>
      </c>
    </row>
    <row r="8" spans="1:7" x14ac:dyDescent="0.25">
      <c r="B8" t="s">
        <v>333</v>
      </c>
    </row>
    <row r="9" spans="1:7" x14ac:dyDescent="0.25">
      <c r="B9" t="s">
        <v>334</v>
      </c>
    </row>
    <row r="12" spans="1:7" x14ac:dyDescent="0.25">
      <c r="B12" s="19" t="s">
        <v>36</v>
      </c>
      <c r="C12" s="19"/>
      <c r="D12" s="19"/>
    </row>
    <row r="13" spans="1:7" x14ac:dyDescent="0.25">
      <c r="B13" s="4" t="s">
        <v>37</v>
      </c>
      <c r="C13" s="4">
        <v>197</v>
      </c>
      <c r="D13" s="4" t="s">
        <v>14</v>
      </c>
      <c r="E13" t="s">
        <v>200</v>
      </c>
    </row>
    <row r="14" spans="1:7" x14ac:dyDescent="0.25">
      <c r="B14" s="4" t="s">
        <v>38</v>
      </c>
      <c r="C14" s="4">
        <f>200+C13</f>
        <v>397</v>
      </c>
      <c r="D14" s="4" t="s">
        <v>14</v>
      </c>
      <c r="E14" t="s">
        <v>201</v>
      </c>
    </row>
    <row r="15" spans="1:7" x14ac:dyDescent="0.25">
      <c r="A15" s="43" t="s">
        <v>356</v>
      </c>
      <c r="B15" s="4" t="s">
        <v>39</v>
      </c>
      <c r="C15" s="4">
        <v>11613.68</v>
      </c>
      <c r="D15" s="4" t="s">
        <v>14</v>
      </c>
      <c r="E15" t="s">
        <v>358</v>
      </c>
    </row>
    <row r="16" spans="1:7" x14ac:dyDescent="0.25">
      <c r="A16" s="43"/>
      <c r="B16" s="4" t="s">
        <v>40</v>
      </c>
      <c r="C16" s="4">
        <v>611.23</v>
      </c>
      <c r="D16" s="4" t="s">
        <v>14</v>
      </c>
      <c r="E16" s="61"/>
      <c r="F16" s="62" t="s">
        <v>359</v>
      </c>
      <c r="G16" t="s">
        <v>360</v>
      </c>
    </row>
    <row r="17" spans="1:5" x14ac:dyDescent="0.25">
      <c r="A17" s="64" t="s">
        <v>357</v>
      </c>
    </row>
    <row r="18" spans="1:5" ht="17.25" customHeight="1" x14ac:dyDescent="0.25">
      <c r="A18" s="64" t="s">
        <v>357</v>
      </c>
    </row>
    <row r="20" spans="1:5" x14ac:dyDescent="0.25">
      <c r="B20" s="19" t="s">
        <v>41</v>
      </c>
      <c r="C20" s="19"/>
      <c r="D20" s="19"/>
    </row>
    <row r="22" spans="1:5" x14ac:dyDescent="0.25">
      <c r="B22" s="6" t="s">
        <v>42</v>
      </c>
      <c r="C22" s="6"/>
    </row>
    <row r="23" spans="1:5" x14ac:dyDescent="0.25">
      <c r="B23" s="4" t="s">
        <v>43</v>
      </c>
      <c r="C23" s="4">
        <v>198.5</v>
      </c>
      <c r="D23" s="4" t="s">
        <v>44</v>
      </c>
      <c r="E23" t="s">
        <v>202</v>
      </c>
    </row>
    <row r="24" spans="1:5" x14ac:dyDescent="0.25">
      <c r="B24" s="4" t="s">
        <v>45</v>
      </c>
      <c r="C24" s="4">
        <v>196.52</v>
      </c>
      <c r="D24" s="4" t="s">
        <v>46</v>
      </c>
      <c r="E24" t="s">
        <v>203</v>
      </c>
    </row>
    <row r="25" spans="1:5" x14ac:dyDescent="0.25">
      <c r="B25" s="4" t="s">
        <v>47</v>
      </c>
      <c r="C25" s="4">
        <v>196.52</v>
      </c>
      <c r="D25" s="4" t="s">
        <v>14</v>
      </c>
      <c r="E25" t="s">
        <v>204</v>
      </c>
    </row>
    <row r="27" spans="1:5" x14ac:dyDescent="0.25">
      <c r="B27" s="6" t="s">
        <v>48</v>
      </c>
      <c r="C27" s="6"/>
    </row>
    <row r="28" spans="1:5" x14ac:dyDescent="0.25">
      <c r="B28" s="4" t="s">
        <v>49</v>
      </c>
      <c r="C28" s="4">
        <v>1.98</v>
      </c>
      <c r="D28" s="4" t="s">
        <v>50</v>
      </c>
      <c r="E28" t="s">
        <v>205</v>
      </c>
    </row>
    <row r="29" spans="1:5" x14ac:dyDescent="0.25">
      <c r="B29" s="4" t="s">
        <v>51</v>
      </c>
      <c r="C29" s="4">
        <v>0.99</v>
      </c>
      <c r="D29" s="4" t="s">
        <v>52</v>
      </c>
      <c r="E29" t="s">
        <v>206</v>
      </c>
    </row>
    <row r="30" spans="1:5" x14ac:dyDescent="0.25">
      <c r="B30" s="4" t="s">
        <v>53</v>
      </c>
      <c r="C30" s="4">
        <v>0.99</v>
      </c>
      <c r="D30" s="4" t="s">
        <v>14</v>
      </c>
      <c r="E30" t="s">
        <v>207</v>
      </c>
    </row>
    <row r="32" spans="1:5" x14ac:dyDescent="0.25">
      <c r="B32" s="6" t="s">
        <v>54</v>
      </c>
    </row>
    <row r="33" spans="2:5" x14ac:dyDescent="0.25">
      <c r="B33" s="4" t="s">
        <v>55</v>
      </c>
      <c r="C33" s="4">
        <v>196.52</v>
      </c>
      <c r="D33" s="4" t="s">
        <v>14</v>
      </c>
      <c r="E33" t="s">
        <v>208</v>
      </c>
    </row>
    <row r="34" spans="2:5" x14ac:dyDescent="0.25">
      <c r="B34" s="4" t="s">
        <v>56</v>
      </c>
      <c r="C34" s="4">
        <v>0.99</v>
      </c>
      <c r="D34" s="4" t="s">
        <v>14</v>
      </c>
    </row>
    <row r="35" spans="2:5" x14ac:dyDescent="0.25">
      <c r="B35" s="4" t="s">
        <v>57</v>
      </c>
      <c r="C35" s="4">
        <v>195.52</v>
      </c>
      <c r="D35" s="4" t="s">
        <v>14</v>
      </c>
    </row>
    <row r="37" spans="2:5" x14ac:dyDescent="0.25">
      <c r="B37" s="19" t="s">
        <v>58</v>
      </c>
      <c r="C37" s="19"/>
      <c r="D37" s="19"/>
    </row>
    <row r="38" spans="2:5" x14ac:dyDescent="0.25">
      <c r="B38" s="4" t="s">
        <v>21</v>
      </c>
      <c r="C38" s="4" t="s">
        <v>22</v>
      </c>
      <c r="D38" s="4" t="s">
        <v>23</v>
      </c>
    </row>
    <row r="39" spans="2:5" x14ac:dyDescent="0.25">
      <c r="B39" s="4" t="s">
        <v>59</v>
      </c>
      <c r="C39" s="4">
        <v>11418.16</v>
      </c>
      <c r="D39" s="4">
        <v>0.93159999999999998</v>
      </c>
      <c r="E39" t="s">
        <v>209</v>
      </c>
    </row>
    <row r="40" spans="2:5" x14ac:dyDescent="0.25">
      <c r="B40" s="4" t="s">
        <v>60</v>
      </c>
      <c r="C40" s="4">
        <v>807.74</v>
      </c>
      <c r="D40" s="4">
        <v>6.59E-2</v>
      </c>
      <c r="E40" t="s">
        <v>210</v>
      </c>
    </row>
    <row r="41" spans="2:5" x14ac:dyDescent="0.25">
      <c r="B41" s="4" t="s">
        <v>6</v>
      </c>
      <c r="C41" s="4">
        <v>196.52</v>
      </c>
      <c r="D41" s="4">
        <v>1.6E-2</v>
      </c>
      <c r="E41" t="s">
        <v>211</v>
      </c>
    </row>
    <row r="42" spans="2:5" x14ac:dyDescent="0.25">
      <c r="B42" s="4" t="s">
        <v>5</v>
      </c>
      <c r="C42" s="4">
        <v>198.5</v>
      </c>
      <c r="D42" s="4">
        <v>1.6199999999999999E-2</v>
      </c>
      <c r="E42" t="s">
        <v>212</v>
      </c>
    </row>
    <row r="43" spans="2:5" x14ac:dyDescent="0.25">
      <c r="B43" s="4" t="s">
        <v>10</v>
      </c>
      <c r="C43" s="4">
        <v>0.99</v>
      </c>
      <c r="D43" s="4">
        <v>1E-4</v>
      </c>
      <c r="E43" t="s">
        <v>213</v>
      </c>
    </row>
    <row r="44" spans="2:5" x14ac:dyDescent="0.25">
      <c r="B44" s="4" t="s">
        <v>24</v>
      </c>
      <c r="C44" s="4">
        <v>12621.91</v>
      </c>
      <c r="D44" s="4">
        <v>1</v>
      </c>
    </row>
    <row r="45" spans="2:5" x14ac:dyDescent="0.25">
      <c r="B45" s="4" t="s">
        <v>61</v>
      </c>
      <c r="C45" s="11">
        <v>950</v>
      </c>
      <c r="D45" s="4"/>
    </row>
    <row r="46" spans="2:5" x14ac:dyDescent="0.25">
      <c r="B46" s="4" t="s">
        <v>26</v>
      </c>
      <c r="C46" s="4">
        <v>3500</v>
      </c>
      <c r="D46" s="4"/>
    </row>
    <row r="49" spans="2:9" x14ac:dyDescent="0.25">
      <c r="B49" s="19" t="s">
        <v>214</v>
      </c>
      <c r="C49" s="19"/>
      <c r="E49" s="30" t="s">
        <v>220</v>
      </c>
      <c r="F49" s="31"/>
      <c r="G49" s="31"/>
      <c r="H49" s="31"/>
      <c r="I49" s="32"/>
    </row>
    <row r="50" spans="2:9" x14ac:dyDescent="0.25">
      <c r="B50" s="4" t="s">
        <v>215</v>
      </c>
      <c r="C50" s="4"/>
    </row>
    <row r="51" spans="2:9" x14ac:dyDescent="0.25">
      <c r="B51" s="4" t="s">
        <v>216</v>
      </c>
      <c r="C51" s="4"/>
      <c r="E51" s="27" t="s">
        <v>221</v>
      </c>
      <c r="F51" s="28"/>
      <c r="G51" s="28"/>
      <c r="H51" s="28"/>
      <c r="I51" s="29"/>
    </row>
    <row r="52" spans="2:9" x14ac:dyDescent="0.25">
      <c r="B52" s="4" t="s">
        <v>217</v>
      </c>
      <c r="C52" s="4"/>
      <c r="E52" s="4" t="s">
        <v>222</v>
      </c>
      <c r="F52" s="4"/>
      <c r="G52" s="4"/>
      <c r="H52" s="4"/>
      <c r="I52" s="4"/>
    </row>
    <row r="53" spans="2:9" x14ac:dyDescent="0.25">
      <c r="B53" s="4" t="s">
        <v>218</v>
      </c>
      <c r="C53" s="4"/>
    </row>
    <row r="54" spans="2:9" x14ac:dyDescent="0.25">
      <c r="B54" s="4" t="s">
        <v>219</v>
      </c>
      <c r="C54" s="4"/>
      <c r="E54" s="4" t="s">
        <v>223</v>
      </c>
      <c r="F54" s="7"/>
      <c r="G54" s="10"/>
      <c r="H54" s="10"/>
      <c r="I54" s="8"/>
    </row>
    <row r="55" spans="2:9" x14ac:dyDescent="0.25">
      <c r="E55" s="27" t="s">
        <v>224</v>
      </c>
      <c r="F55" s="28"/>
      <c r="G55" s="28"/>
      <c r="H55" s="28"/>
      <c r="I55" s="29"/>
    </row>
    <row r="56" spans="2:9" x14ac:dyDescent="0.25">
      <c r="E56" s="9"/>
      <c r="F56" s="9"/>
      <c r="G56" s="9"/>
      <c r="H56" s="9"/>
      <c r="I56" s="9"/>
    </row>
    <row r="57" spans="2:9" x14ac:dyDescent="0.25">
      <c r="E57" s="5" t="s">
        <v>225</v>
      </c>
      <c r="F57" s="5"/>
      <c r="G57" s="5"/>
      <c r="H57" s="5"/>
      <c r="I57" s="5"/>
    </row>
    <row r="58" spans="2:9" x14ac:dyDescent="0.25">
      <c r="E58" s="24" t="s">
        <v>226</v>
      </c>
      <c r="F58" s="25"/>
      <c r="G58" s="25"/>
      <c r="H58" s="25"/>
      <c r="I58" s="26"/>
    </row>
  </sheetData>
  <mergeCells count="10">
    <mergeCell ref="A15:A16"/>
    <mergeCell ref="B2:D2"/>
    <mergeCell ref="E58:I58"/>
    <mergeCell ref="E55:I55"/>
    <mergeCell ref="B12:D12"/>
    <mergeCell ref="B20:D20"/>
    <mergeCell ref="B37:D37"/>
    <mergeCell ref="B49:C49"/>
    <mergeCell ref="E51:I51"/>
    <mergeCell ref="E49:I4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3D04-BB9A-4F40-850A-B2139557F672}">
  <dimension ref="B1:L37"/>
  <sheetViews>
    <sheetView topLeftCell="A13" workbookViewId="0">
      <selection activeCell="D21" sqref="D21"/>
    </sheetView>
  </sheetViews>
  <sheetFormatPr baseColWidth="10" defaultRowHeight="15" x14ac:dyDescent="0.25"/>
  <cols>
    <col min="2" max="2" width="18.140625" customWidth="1"/>
    <col min="3" max="3" width="17.85546875" customWidth="1"/>
    <col min="4" max="4" width="17" customWidth="1"/>
    <col min="6" max="6" width="22.5703125" customWidth="1"/>
  </cols>
  <sheetData>
    <row r="1" spans="2:12" x14ac:dyDescent="0.25">
      <c r="F1" s="1" t="s">
        <v>337</v>
      </c>
    </row>
    <row r="2" spans="2:12" x14ac:dyDescent="0.25">
      <c r="B2" s="30" t="s">
        <v>62</v>
      </c>
      <c r="C2" s="32"/>
      <c r="F2" s="35" t="s">
        <v>232</v>
      </c>
      <c r="G2" s="35"/>
      <c r="J2" s="2" t="s">
        <v>250</v>
      </c>
      <c r="K2" s="2"/>
      <c r="L2" s="2"/>
    </row>
    <row r="3" spans="2:12" x14ac:dyDescent="0.25">
      <c r="B3" s="27" t="s">
        <v>63</v>
      </c>
      <c r="C3" s="29"/>
      <c r="F3" t="s">
        <v>227</v>
      </c>
    </row>
    <row r="4" spans="2:12" x14ac:dyDescent="0.25">
      <c r="B4" s="4" t="s">
        <v>64</v>
      </c>
      <c r="C4" s="4">
        <v>1E-3</v>
      </c>
      <c r="F4" t="s">
        <v>228</v>
      </c>
      <c r="J4" t="s">
        <v>251</v>
      </c>
    </row>
    <row r="5" spans="2:12" x14ac:dyDescent="0.25">
      <c r="B5" s="4" t="s">
        <v>65</v>
      </c>
      <c r="C5" s="4">
        <v>0.05</v>
      </c>
      <c r="F5" t="s">
        <v>229</v>
      </c>
      <c r="J5" t="s">
        <v>252</v>
      </c>
    </row>
    <row r="6" spans="2:12" x14ac:dyDescent="0.25">
      <c r="B6" s="4" t="s">
        <v>66</v>
      </c>
      <c r="C6" s="4">
        <v>0.98</v>
      </c>
      <c r="F6" t="s">
        <v>230</v>
      </c>
    </row>
    <row r="7" spans="2:12" x14ac:dyDescent="0.25">
      <c r="B7" s="4" t="s">
        <v>67</v>
      </c>
      <c r="C7" s="4">
        <v>0.99</v>
      </c>
      <c r="F7" t="s">
        <v>231</v>
      </c>
      <c r="J7" t="s">
        <v>253</v>
      </c>
    </row>
    <row r="8" spans="2:12" x14ac:dyDescent="0.25">
      <c r="B8" s="4" t="s">
        <v>68</v>
      </c>
      <c r="C8" s="4">
        <v>1</v>
      </c>
      <c r="J8" t="s">
        <v>254</v>
      </c>
    </row>
    <row r="9" spans="2:12" x14ac:dyDescent="0.25">
      <c r="B9" s="59"/>
      <c r="C9" s="59"/>
    </row>
    <row r="10" spans="2:12" x14ac:dyDescent="0.25">
      <c r="B10" s="59"/>
      <c r="C10" s="59"/>
    </row>
    <row r="11" spans="2:12" x14ac:dyDescent="0.25">
      <c r="B11" s="59"/>
      <c r="C11" s="59"/>
    </row>
    <row r="13" spans="2:12" x14ac:dyDescent="0.25">
      <c r="J13" t="s">
        <v>255</v>
      </c>
    </row>
    <row r="14" spans="2:12" x14ac:dyDescent="0.25">
      <c r="F14" s="37" t="s">
        <v>242</v>
      </c>
      <c r="G14" s="37"/>
      <c r="J14" t="s">
        <v>256</v>
      </c>
    </row>
    <row r="15" spans="2:12" x14ac:dyDescent="0.25">
      <c r="B15" s="33" t="s">
        <v>69</v>
      </c>
      <c r="C15" s="33"/>
      <c r="D15" s="33"/>
      <c r="F15" t="s">
        <v>234</v>
      </c>
      <c r="J15" t="s">
        <v>257</v>
      </c>
    </row>
    <row r="16" spans="2:12" x14ac:dyDescent="0.25">
      <c r="B16" s="4" t="s">
        <v>21</v>
      </c>
      <c r="C16" s="4" t="s">
        <v>22</v>
      </c>
      <c r="D16" s="4" t="s">
        <v>23</v>
      </c>
      <c r="F16" t="s">
        <v>243</v>
      </c>
      <c r="J16" t="s">
        <v>258</v>
      </c>
    </row>
    <row r="17" spans="2:10" x14ac:dyDescent="0.25">
      <c r="B17" s="4" t="s">
        <v>59</v>
      </c>
      <c r="C17" s="4">
        <v>11.42</v>
      </c>
      <c r="D17" s="4">
        <v>3.7100000000000001E-2</v>
      </c>
      <c r="F17" t="s">
        <v>244</v>
      </c>
      <c r="J17" t="s">
        <v>259</v>
      </c>
    </row>
    <row r="18" spans="2:10" x14ac:dyDescent="0.25">
      <c r="B18" s="4" t="s">
        <v>60</v>
      </c>
      <c r="C18" s="4">
        <v>40.39</v>
      </c>
      <c r="D18" s="4">
        <v>0.13139999999999999</v>
      </c>
      <c r="F18" t="s">
        <v>245</v>
      </c>
      <c r="J18" t="s">
        <v>260</v>
      </c>
    </row>
    <row r="19" spans="2:10" x14ac:dyDescent="0.25">
      <c r="B19" s="4" t="s">
        <v>6</v>
      </c>
      <c r="C19" s="4">
        <v>192.59</v>
      </c>
      <c r="D19" s="4">
        <v>0.62629999999999997</v>
      </c>
      <c r="F19" t="s">
        <v>246</v>
      </c>
    </row>
    <row r="20" spans="2:10" x14ac:dyDescent="0.25">
      <c r="B20" s="4" t="s">
        <v>5</v>
      </c>
      <c r="C20" s="4">
        <v>196.52</v>
      </c>
      <c r="D20" s="4">
        <v>0.63919999999999999</v>
      </c>
      <c r="F20" t="s">
        <v>247</v>
      </c>
    </row>
    <row r="21" spans="2:10" x14ac:dyDescent="0.25">
      <c r="B21" s="4" t="s">
        <v>10</v>
      </c>
      <c r="C21" s="4">
        <v>0.99</v>
      </c>
      <c r="D21" s="4">
        <v>3.2000000000000002E-3</v>
      </c>
      <c r="F21" t="s">
        <v>248</v>
      </c>
    </row>
    <row r="22" spans="2:10" x14ac:dyDescent="0.25">
      <c r="B22" s="4" t="s">
        <v>24</v>
      </c>
      <c r="C22" s="4">
        <v>441.9</v>
      </c>
      <c r="D22" s="4">
        <v>1</v>
      </c>
      <c r="F22" t="s">
        <v>249</v>
      </c>
    </row>
    <row r="23" spans="2:10" x14ac:dyDescent="0.25">
      <c r="B23" s="4" t="s">
        <v>61</v>
      </c>
      <c r="C23" s="4">
        <v>310.75</v>
      </c>
      <c r="D23" s="4"/>
    </row>
    <row r="24" spans="2:10" x14ac:dyDescent="0.25">
      <c r="B24" s="4" t="s">
        <v>26</v>
      </c>
      <c r="C24" s="4">
        <v>3200</v>
      </c>
      <c r="D24" s="4"/>
    </row>
    <row r="27" spans="2:10" x14ac:dyDescent="0.25">
      <c r="F27" s="36" t="s">
        <v>233</v>
      </c>
      <c r="G27" s="36"/>
    </row>
    <row r="28" spans="2:10" x14ac:dyDescent="0.25">
      <c r="B28" s="34" t="s">
        <v>70</v>
      </c>
      <c r="C28" s="34"/>
      <c r="D28" s="34"/>
      <c r="F28" t="s">
        <v>234</v>
      </c>
    </row>
    <row r="29" spans="2:10" x14ac:dyDescent="0.25">
      <c r="B29" s="4" t="s">
        <v>21</v>
      </c>
      <c r="C29" s="4" t="s">
        <v>22</v>
      </c>
      <c r="D29" s="4" t="s">
        <v>23</v>
      </c>
      <c r="F29" t="s">
        <v>235</v>
      </c>
    </row>
    <row r="30" spans="2:10" x14ac:dyDescent="0.25">
      <c r="B30" s="4" t="s">
        <v>59</v>
      </c>
      <c r="C30" s="4">
        <v>11406.74</v>
      </c>
      <c r="D30" s="4">
        <v>0.9375</v>
      </c>
      <c r="F30" t="s">
        <v>236</v>
      </c>
    </row>
    <row r="31" spans="2:10" x14ac:dyDescent="0.25">
      <c r="B31" s="4" t="s">
        <v>60</v>
      </c>
      <c r="C31" s="4">
        <v>767.36</v>
      </c>
      <c r="D31" s="4">
        <v>6.3100000000000003E-2</v>
      </c>
      <c r="F31" t="s">
        <v>237</v>
      </c>
    </row>
    <row r="32" spans="2:10" x14ac:dyDescent="0.25">
      <c r="B32" s="4" t="s">
        <v>6</v>
      </c>
      <c r="C32" s="4">
        <v>3.93</v>
      </c>
      <c r="D32" s="4">
        <v>2.9999999999999997E-4</v>
      </c>
      <c r="F32" t="s">
        <v>238</v>
      </c>
    </row>
    <row r="33" spans="2:6" x14ac:dyDescent="0.25">
      <c r="B33" s="4" t="s">
        <v>5</v>
      </c>
      <c r="C33" s="4">
        <v>1.99</v>
      </c>
      <c r="D33" s="4">
        <v>2.0000000000000001E-4</v>
      </c>
      <c r="F33" t="s">
        <v>239</v>
      </c>
    </row>
    <row r="34" spans="2:6" x14ac:dyDescent="0.25">
      <c r="B34" s="4" t="s">
        <v>10</v>
      </c>
      <c r="C34" s="4">
        <v>0</v>
      </c>
      <c r="D34" s="4">
        <v>0</v>
      </c>
      <c r="F34" t="s">
        <v>240</v>
      </c>
    </row>
    <row r="35" spans="2:6" x14ac:dyDescent="0.25">
      <c r="B35" s="4" t="s">
        <v>24</v>
      </c>
      <c r="C35" s="4">
        <v>12180.01</v>
      </c>
      <c r="D35" s="4">
        <v>1</v>
      </c>
      <c r="F35" t="s">
        <v>241</v>
      </c>
    </row>
    <row r="36" spans="2:6" x14ac:dyDescent="0.25">
      <c r="B36" s="4" t="s">
        <v>61</v>
      </c>
      <c r="C36" s="4">
        <v>310.75</v>
      </c>
      <c r="D36" s="4"/>
    </row>
    <row r="37" spans="2:6" x14ac:dyDescent="0.25">
      <c r="B37" s="4" t="s">
        <v>26</v>
      </c>
      <c r="C37" s="4">
        <v>3200</v>
      </c>
      <c r="D37" s="4"/>
    </row>
  </sheetData>
  <mergeCells count="7">
    <mergeCell ref="B2:C2"/>
    <mergeCell ref="B3:C3"/>
    <mergeCell ref="B15:D15"/>
    <mergeCell ref="B28:D28"/>
    <mergeCell ref="F2:G2"/>
    <mergeCell ref="F27:G27"/>
    <mergeCell ref="F14:G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BF4C-7AF1-4D4D-9331-47028A793B41}">
  <dimension ref="B1:H23"/>
  <sheetViews>
    <sheetView workbookViewId="0">
      <selection activeCell="I25" sqref="I25"/>
    </sheetView>
  </sheetViews>
  <sheetFormatPr baseColWidth="10" defaultRowHeight="15" x14ac:dyDescent="0.25"/>
  <cols>
    <col min="1" max="1" width="3" customWidth="1"/>
    <col min="2" max="2" width="19.85546875" customWidth="1"/>
    <col min="3" max="3" width="32.42578125" customWidth="1"/>
  </cols>
  <sheetData>
    <row r="1" spans="2:8" x14ac:dyDescent="0.25">
      <c r="B1" s="1" t="s">
        <v>261</v>
      </c>
    </row>
    <row r="3" spans="2:8" x14ac:dyDescent="0.25">
      <c r="B3" s="30" t="s">
        <v>71</v>
      </c>
      <c r="C3" s="32"/>
      <c r="E3" s="40" t="s">
        <v>234</v>
      </c>
      <c r="F3" s="40"/>
      <c r="G3" s="40"/>
      <c r="H3" s="40"/>
    </row>
    <row r="4" spans="2:8" x14ac:dyDescent="0.25">
      <c r="B4" s="4" t="s">
        <v>21</v>
      </c>
      <c r="C4" s="4" t="s">
        <v>22</v>
      </c>
      <c r="E4" t="s">
        <v>262</v>
      </c>
    </row>
    <row r="5" spans="2:8" x14ac:dyDescent="0.25">
      <c r="B5" s="4" t="s">
        <v>59</v>
      </c>
      <c r="C5" s="4">
        <v>7984.72</v>
      </c>
      <c r="E5" t="s">
        <v>263</v>
      </c>
    </row>
    <row r="6" spans="2:8" x14ac:dyDescent="0.25">
      <c r="B6" s="4" t="s">
        <v>60</v>
      </c>
      <c r="C6" s="4">
        <v>537.15</v>
      </c>
      <c r="E6" t="s">
        <v>264</v>
      </c>
    </row>
    <row r="7" spans="2:8" x14ac:dyDescent="0.25">
      <c r="B7" s="4" t="s">
        <v>6</v>
      </c>
      <c r="C7" s="4">
        <v>2.75</v>
      </c>
      <c r="E7" t="s">
        <v>265</v>
      </c>
    </row>
    <row r="8" spans="2:8" x14ac:dyDescent="0.25">
      <c r="B8" s="4" t="s">
        <v>5</v>
      </c>
      <c r="C8" s="4">
        <v>1.39</v>
      </c>
      <c r="E8" t="s">
        <v>266</v>
      </c>
    </row>
    <row r="9" spans="2:8" x14ac:dyDescent="0.25">
      <c r="B9" s="4" t="s">
        <v>24</v>
      </c>
      <c r="C9" s="4">
        <v>8526.01</v>
      </c>
      <c r="E9" t="s">
        <v>267</v>
      </c>
    </row>
    <row r="10" spans="2:8" x14ac:dyDescent="0.25">
      <c r="B10" s="4" t="s">
        <v>72</v>
      </c>
      <c r="C10" s="4" t="s">
        <v>73</v>
      </c>
      <c r="E10" t="s">
        <v>268</v>
      </c>
    </row>
    <row r="11" spans="2:8" x14ac:dyDescent="0.25">
      <c r="E11" t="s">
        <v>269</v>
      </c>
    </row>
    <row r="16" spans="2:8" x14ac:dyDescent="0.25">
      <c r="B16" s="38" t="s">
        <v>74</v>
      </c>
      <c r="C16" s="39"/>
      <c r="E16" s="37" t="s">
        <v>234</v>
      </c>
      <c r="F16" s="37"/>
      <c r="G16" s="37"/>
      <c r="H16" s="37"/>
    </row>
    <row r="17" spans="2:5" x14ac:dyDescent="0.25">
      <c r="B17" s="4" t="s">
        <v>21</v>
      </c>
      <c r="C17" s="4" t="s">
        <v>22</v>
      </c>
      <c r="E17" t="s">
        <v>270</v>
      </c>
    </row>
    <row r="18" spans="2:5" x14ac:dyDescent="0.25">
      <c r="B18" s="4" t="s">
        <v>59</v>
      </c>
      <c r="C18" s="4">
        <v>3422.02</v>
      </c>
      <c r="E18" t="s">
        <v>271</v>
      </c>
    </row>
    <row r="19" spans="2:5" x14ac:dyDescent="0.25">
      <c r="B19" s="4" t="s">
        <v>60</v>
      </c>
      <c r="C19" s="4">
        <v>230.21</v>
      </c>
      <c r="E19" t="s">
        <v>272</v>
      </c>
    </row>
    <row r="20" spans="2:5" x14ac:dyDescent="0.25">
      <c r="B20" s="4" t="s">
        <v>6</v>
      </c>
      <c r="C20" s="4">
        <v>1.18</v>
      </c>
      <c r="E20" t="s">
        <v>273</v>
      </c>
    </row>
    <row r="21" spans="2:5" x14ac:dyDescent="0.25">
      <c r="B21" s="4" t="s">
        <v>5</v>
      </c>
      <c r="C21" s="4">
        <v>0.6</v>
      </c>
      <c r="E21" t="s">
        <v>274</v>
      </c>
    </row>
    <row r="22" spans="2:5" x14ac:dyDescent="0.25">
      <c r="B22" s="4" t="s">
        <v>24</v>
      </c>
      <c r="C22" s="4">
        <v>3654</v>
      </c>
      <c r="E22" t="s">
        <v>275</v>
      </c>
    </row>
    <row r="23" spans="2:5" x14ac:dyDescent="0.25">
      <c r="B23" s="4" t="s">
        <v>26</v>
      </c>
      <c r="C23" s="4">
        <v>3200</v>
      </c>
    </row>
  </sheetData>
  <mergeCells count="4">
    <mergeCell ref="B16:C16"/>
    <mergeCell ref="B3:C3"/>
    <mergeCell ref="E3:H3"/>
    <mergeCell ref="E16:H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6735-6451-4450-83A8-073105AF1EF1}">
  <dimension ref="B2:Q75"/>
  <sheetViews>
    <sheetView topLeftCell="A61" workbookViewId="0">
      <selection activeCell="C7" sqref="C7"/>
    </sheetView>
  </sheetViews>
  <sheetFormatPr baseColWidth="10" defaultRowHeight="15" x14ac:dyDescent="0.25"/>
  <cols>
    <col min="1" max="1" width="7.85546875" customWidth="1"/>
    <col min="2" max="2" width="15.28515625" customWidth="1"/>
    <col min="4" max="4" width="27.28515625" customWidth="1"/>
    <col min="12" max="12" width="10.5703125" customWidth="1"/>
    <col min="13" max="13" width="19.28515625" customWidth="1"/>
    <col min="14" max="14" width="17" customWidth="1"/>
    <col min="15" max="15" width="20.28515625" customWidth="1"/>
    <col min="16" max="16" width="20.42578125" customWidth="1"/>
    <col min="17" max="17" width="17.42578125" customWidth="1"/>
  </cols>
  <sheetData>
    <row r="2" spans="2:5" x14ac:dyDescent="0.25">
      <c r="B2" s="1" t="s">
        <v>276</v>
      </c>
    </row>
    <row r="3" spans="2:5" x14ac:dyDescent="0.25">
      <c r="B3" s="1" t="s">
        <v>277</v>
      </c>
    </row>
    <row r="6" spans="2:5" x14ac:dyDescent="0.25">
      <c r="B6" s="42" t="s">
        <v>75</v>
      </c>
      <c r="C6" s="42"/>
      <c r="D6" s="42"/>
    </row>
    <row r="7" spans="2:5" x14ac:dyDescent="0.25">
      <c r="B7" s="4" t="s">
        <v>76</v>
      </c>
      <c r="C7" s="4"/>
      <c r="D7" s="4"/>
    </row>
    <row r="9" spans="2:5" x14ac:dyDescent="0.25">
      <c r="B9" s="27" t="s">
        <v>77</v>
      </c>
      <c r="C9" s="28"/>
      <c r="D9" s="29"/>
    </row>
    <row r="10" spans="2:5" x14ac:dyDescent="0.25">
      <c r="B10" s="4" t="s">
        <v>59</v>
      </c>
      <c r="C10" s="4">
        <v>11.3</v>
      </c>
      <c r="D10" s="4" t="s">
        <v>78</v>
      </c>
      <c r="E10" t="s">
        <v>278</v>
      </c>
    </row>
    <row r="11" spans="2:5" x14ac:dyDescent="0.25">
      <c r="B11" s="4" t="s">
        <v>60</v>
      </c>
      <c r="C11" s="4">
        <v>39.99</v>
      </c>
      <c r="D11" s="4" t="s">
        <v>78</v>
      </c>
      <c r="E11" t="s">
        <v>279</v>
      </c>
    </row>
    <row r="12" spans="2:5" x14ac:dyDescent="0.25">
      <c r="B12" s="4" t="s">
        <v>24</v>
      </c>
      <c r="C12" s="4">
        <v>51.29</v>
      </c>
      <c r="D12" s="4" t="s">
        <v>14</v>
      </c>
      <c r="E12" t="s">
        <v>280</v>
      </c>
    </row>
    <row r="15" spans="2:5" x14ac:dyDescent="0.25">
      <c r="B15" s="27" t="s">
        <v>79</v>
      </c>
      <c r="C15" s="28"/>
      <c r="D15" s="29"/>
    </row>
    <row r="16" spans="2:5" x14ac:dyDescent="0.25">
      <c r="B16" s="4" t="s">
        <v>6</v>
      </c>
      <c r="C16" s="4">
        <v>192.4</v>
      </c>
      <c r="D16" s="4" t="s">
        <v>80</v>
      </c>
      <c r="E16" t="s">
        <v>281</v>
      </c>
    </row>
    <row r="17" spans="2:5" x14ac:dyDescent="0.25">
      <c r="B17" s="4" t="s">
        <v>5</v>
      </c>
      <c r="C17" s="4">
        <v>196.52</v>
      </c>
      <c r="D17" s="4" t="s">
        <v>81</v>
      </c>
      <c r="E17" t="s">
        <v>282</v>
      </c>
    </row>
    <row r="18" spans="2:5" x14ac:dyDescent="0.25">
      <c r="B18" s="4" t="s">
        <v>10</v>
      </c>
      <c r="C18" s="4">
        <v>0.99</v>
      </c>
      <c r="D18" s="4" t="s">
        <v>81</v>
      </c>
      <c r="E18" t="s">
        <v>283</v>
      </c>
    </row>
    <row r="19" spans="2:5" x14ac:dyDescent="0.25">
      <c r="B19" s="4" t="s">
        <v>24</v>
      </c>
      <c r="C19" s="4">
        <v>389.91</v>
      </c>
      <c r="D19" s="4" t="s">
        <v>14</v>
      </c>
      <c r="E19" t="s">
        <v>284</v>
      </c>
    </row>
    <row r="20" spans="2:5" x14ac:dyDescent="0.25">
      <c r="E20" t="s">
        <v>285</v>
      </c>
    </row>
    <row r="26" spans="2:5" x14ac:dyDescent="0.25">
      <c r="B26" s="37" t="s">
        <v>82</v>
      </c>
      <c r="C26" s="37"/>
      <c r="D26" s="37"/>
    </row>
    <row r="27" spans="2:5" x14ac:dyDescent="0.25">
      <c r="B27" t="s">
        <v>83</v>
      </c>
    </row>
    <row r="28" spans="2:5" x14ac:dyDescent="0.25">
      <c r="E28" t="s">
        <v>286</v>
      </c>
    </row>
    <row r="29" spans="2:5" x14ac:dyDescent="0.25">
      <c r="B29" s="43" t="s">
        <v>84</v>
      </c>
      <c r="C29" s="43"/>
      <c r="D29" s="43"/>
      <c r="E29" t="s">
        <v>287</v>
      </c>
    </row>
    <row r="30" spans="2:5" x14ac:dyDescent="0.25">
      <c r="B30" s="4" t="s">
        <v>6</v>
      </c>
      <c r="C30" s="4">
        <v>192.34</v>
      </c>
      <c r="D30" s="4" t="s">
        <v>85</v>
      </c>
      <c r="E30" t="s">
        <v>288</v>
      </c>
    </row>
    <row r="31" spans="2:5" x14ac:dyDescent="0.25">
      <c r="B31" s="4" t="s">
        <v>5</v>
      </c>
      <c r="C31" s="4">
        <v>0.06</v>
      </c>
      <c r="D31" s="4" t="s">
        <v>86</v>
      </c>
      <c r="E31" t="s">
        <v>289</v>
      </c>
    </row>
    <row r="32" spans="2:5" x14ac:dyDescent="0.25">
      <c r="B32" s="4" t="s">
        <v>24</v>
      </c>
      <c r="C32" s="4">
        <v>192.4</v>
      </c>
      <c r="D32" s="4" t="s">
        <v>14</v>
      </c>
      <c r="E32" t="s">
        <v>290</v>
      </c>
    </row>
    <row r="33" spans="2:13" x14ac:dyDescent="0.25">
      <c r="B33" s="4" t="s">
        <v>87</v>
      </c>
      <c r="C33" s="4">
        <v>15013.93</v>
      </c>
      <c r="D33" s="4" t="s">
        <v>88</v>
      </c>
      <c r="E33" t="s">
        <v>291</v>
      </c>
    </row>
    <row r="35" spans="2:13" x14ac:dyDescent="0.25">
      <c r="B35" s="43" t="s">
        <v>89</v>
      </c>
      <c r="C35" s="43"/>
      <c r="D35" s="43"/>
    </row>
    <row r="36" spans="2:13" x14ac:dyDescent="0.25">
      <c r="B36" s="4" t="s">
        <v>6</v>
      </c>
      <c r="C36" s="4">
        <v>0.06</v>
      </c>
      <c r="D36" s="4" t="s">
        <v>14</v>
      </c>
      <c r="E36" t="s">
        <v>292</v>
      </c>
    </row>
    <row r="37" spans="2:13" x14ac:dyDescent="0.25">
      <c r="B37" s="4" t="s">
        <v>5</v>
      </c>
      <c r="C37" s="4">
        <v>196.46</v>
      </c>
      <c r="D37" s="4" t="s">
        <v>14</v>
      </c>
      <c r="E37" t="s">
        <v>293</v>
      </c>
    </row>
    <row r="38" spans="2:13" x14ac:dyDescent="0.25">
      <c r="B38" s="4" t="s">
        <v>10</v>
      </c>
      <c r="C38" s="4">
        <v>0.99</v>
      </c>
      <c r="D38" s="4" t="s">
        <v>14</v>
      </c>
      <c r="E38" t="s">
        <v>294</v>
      </c>
    </row>
    <row r="39" spans="2:13" x14ac:dyDescent="0.25">
      <c r="B39" s="4" t="s">
        <v>24</v>
      </c>
      <c r="C39" s="4">
        <v>197.51</v>
      </c>
      <c r="D39" s="4" t="s">
        <v>14</v>
      </c>
      <c r="E39" t="s">
        <v>295</v>
      </c>
    </row>
    <row r="45" spans="2:13" x14ac:dyDescent="0.25">
      <c r="B45" s="41" t="s">
        <v>90</v>
      </c>
      <c r="C45" s="41"/>
      <c r="D45" s="41"/>
      <c r="L45" s="68" t="s">
        <v>338</v>
      </c>
      <c r="M45" s="68"/>
    </row>
    <row r="46" spans="2:13" x14ac:dyDescent="0.25">
      <c r="B46" t="s">
        <v>91</v>
      </c>
      <c r="L46" t="s">
        <v>339</v>
      </c>
    </row>
    <row r="47" spans="2:13" x14ac:dyDescent="0.25">
      <c r="E47" t="s">
        <v>296</v>
      </c>
      <c r="L47" t="s">
        <v>340</v>
      </c>
    </row>
    <row r="48" spans="2:13" x14ac:dyDescent="0.25">
      <c r="B48" s="4" t="s">
        <v>92</v>
      </c>
      <c r="C48" s="4"/>
      <c r="D48" s="4"/>
      <c r="L48" t="s">
        <v>341</v>
      </c>
    </row>
    <row r="49" spans="2:17" x14ac:dyDescent="0.25">
      <c r="B49" s="4" t="s">
        <v>5</v>
      </c>
      <c r="C49" s="4">
        <v>193.52</v>
      </c>
      <c r="D49" s="4" t="s">
        <v>93</v>
      </c>
      <c r="E49" t="s">
        <v>297</v>
      </c>
    </row>
    <row r="50" spans="2:17" x14ac:dyDescent="0.25">
      <c r="B50" s="4" t="s">
        <v>6</v>
      </c>
      <c r="C50" s="4">
        <v>0.06</v>
      </c>
      <c r="D50" s="4" t="s">
        <v>94</v>
      </c>
      <c r="E50" t="s">
        <v>298</v>
      </c>
      <c r="L50" s="1" t="s">
        <v>342</v>
      </c>
    </row>
    <row r="51" spans="2:17" x14ac:dyDescent="0.25">
      <c r="B51" s="4" t="s">
        <v>10</v>
      </c>
      <c r="C51" s="4">
        <v>0.02</v>
      </c>
      <c r="D51" s="4" t="s">
        <v>94</v>
      </c>
      <c r="E51" t="s">
        <v>299</v>
      </c>
      <c r="L51" t="s">
        <v>348</v>
      </c>
    </row>
    <row r="52" spans="2:17" x14ac:dyDescent="0.25">
      <c r="B52" s="4" t="s">
        <v>24</v>
      </c>
      <c r="C52" s="4">
        <v>193.6</v>
      </c>
      <c r="D52" s="4" t="s">
        <v>14</v>
      </c>
      <c r="E52" t="s">
        <v>300</v>
      </c>
    </row>
    <row r="53" spans="2:17" x14ac:dyDescent="0.25">
      <c r="B53" s="4" t="s">
        <v>95</v>
      </c>
      <c r="C53" s="4"/>
      <c r="D53" s="4"/>
      <c r="L53" s="1" t="s">
        <v>343</v>
      </c>
    </row>
    <row r="54" spans="2:17" x14ac:dyDescent="0.25">
      <c r="L54" t="s">
        <v>344</v>
      </c>
    </row>
    <row r="55" spans="2:17" x14ac:dyDescent="0.25">
      <c r="B55" s="4" t="s">
        <v>96</v>
      </c>
      <c r="C55" s="4"/>
      <c r="D55" s="4"/>
      <c r="L55" t="s">
        <v>345</v>
      </c>
    </row>
    <row r="56" spans="2:17" x14ac:dyDescent="0.25">
      <c r="B56" s="4" t="s">
        <v>10</v>
      </c>
      <c r="C56" s="4">
        <v>0.97</v>
      </c>
      <c r="D56" s="4" t="s">
        <v>14</v>
      </c>
      <c r="E56" t="s">
        <v>301</v>
      </c>
      <c r="L56" t="s">
        <v>346</v>
      </c>
    </row>
    <row r="57" spans="2:17" x14ac:dyDescent="0.25">
      <c r="B57" s="4" t="s">
        <v>5</v>
      </c>
      <c r="C57" s="4">
        <v>2.94</v>
      </c>
      <c r="D57" s="4" t="s">
        <v>97</v>
      </c>
      <c r="E57" t="s">
        <v>302</v>
      </c>
      <c r="L57" t="s">
        <v>347</v>
      </c>
    </row>
    <row r="58" spans="2:17" x14ac:dyDescent="0.25">
      <c r="B58" s="4" t="s">
        <v>24</v>
      </c>
      <c r="C58" s="4">
        <v>3.91</v>
      </c>
      <c r="D58" s="4" t="s">
        <v>14</v>
      </c>
      <c r="E58" t="s">
        <v>303</v>
      </c>
    </row>
    <row r="59" spans="2:17" x14ac:dyDescent="0.25">
      <c r="B59" s="4" t="s">
        <v>87</v>
      </c>
      <c r="C59" s="4">
        <v>603.13</v>
      </c>
      <c r="D59" s="4" t="s">
        <v>88</v>
      </c>
    </row>
    <row r="61" spans="2:17" x14ac:dyDescent="0.25">
      <c r="L61" s="60" t="s">
        <v>349</v>
      </c>
      <c r="M61" s="60" t="s">
        <v>350</v>
      </c>
      <c r="N61" s="60" t="s">
        <v>351</v>
      </c>
      <c r="O61" s="60" t="s">
        <v>352</v>
      </c>
      <c r="P61" s="60" t="s">
        <v>353</v>
      </c>
      <c r="Q61" s="60" t="s">
        <v>354</v>
      </c>
    </row>
    <row r="62" spans="2:17" x14ac:dyDescent="0.25">
      <c r="L62" s="4">
        <v>0</v>
      </c>
      <c r="M62" s="4">
        <v>0</v>
      </c>
      <c r="N62" s="4">
        <v>200</v>
      </c>
      <c r="O62" s="4">
        <v>100</v>
      </c>
      <c r="P62" s="4">
        <v>100</v>
      </c>
      <c r="Q62" s="4">
        <v>98.5</v>
      </c>
    </row>
    <row r="63" spans="2:17" x14ac:dyDescent="0.25">
      <c r="L63" s="4">
        <v>1</v>
      </c>
      <c r="M63" s="4">
        <v>98.5</v>
      </c>
      <c r="N63" s="4">
        <v>298.5</v>
      </c>
      <c r="O63" s="4">
        <v>149.25</v>
      </c>
      <c r="P63" s="4">
        <v>149.25</v>
      </c>
      <c r="Q63" s="4">
        <v>147.01</v>
      </c>
    </row>
    <row r="64" spans="2:17" x14ac:dyDescent="0.25">
      <c r="L64" s="4">
        <v>2</v>
      </c>
      <c r="M64" s="4">
        <v>147.01</v>
      </c>
      <c r="N64" s="4">
        <v>347.01</v>
      </c>
      <c r="O64" s="4">
        <v>173.51</v>
      </c>
      <c r="P64" s="4">
        <v>173.5</v>
      </c>
      <c r="Q64" s="4">
        <v>170.9</v>
      </c>
    </row>
    <row r="65" spans="12:17" x14ac:dyDescent="0.25">
      <c r="L65" s="4">
        <v>3</v>
      </c>
      <c r="M65" s="4">
        <v>170.9</v>
      </c>
      <c r="N65" s="4">
        <v>370.9</v>
      </c>
      <c r="O65" s="4">
        <v>185.45</v>
      </c>
      <c r="P65" s="4">
        <v>185.45</v>
      </c>
      <c r="Q65" s="4">
        <v>182.67</v>
      </c>
    </row>
    <row r="66" spans="12:17" x14ac:dyDescent="0.25">
      <c r="L66" s="4">
        <v>4</v>
      </c>
      <c r="M66" s="4">
        <v>182.67</v>
      </c>
      <c r="N66" s="4">
        <v>382.67</v>
      </c>
      <c r="O66" s="4">
        <v>191.34</v>
      </c>
      <c r="P66" s="4">
        <v>191.33</v>
      </c>
      <c r="Q66" s="4">
        <v>188.46</v>
      </c>
    </row>
    <row r="67" spans="12:17" x14ac:dyDescent="0.25">
      <c r="L67" s="4">
        <v>5</v>
      </c>
      <c r="M67" s="4">
        <v>188.46</v>
      </c>
      <c r="N67" s="4">
        <v>388.46</v>
      </c>
      <c r="O67" s="4">
        <v>194.23</v>
      </c>
      <c r="P67" s="4">
        <v>194.23</v>
      </c>
      <c r="Q67" s="4">
        <v>191.32</v>
      </c>
    </row>
    <row r="68" spans="12:17" x14ac:dyDescent="0.25">
      <c r="L68" s="4">
        <v>6</v>
      </c>
      <c r="M68" s="4">
        <v>191.32</v>
      </c>
      <c r="N68" s="4">
        <v>391.32</v>
      </c>
      <c r="O68" s="4">
        <v>195.66</v>
      </c>
      <c r="P68" s="4">
        <v>195.66</v>
      </c>
      <c r="Q68" s="4">
        <v>192.73</v>
      </c>
    </row>
    <row r="69" spans="12:17" x14ac:dyDescent="0.25">
      <c r="L69" s="4">
        <v>7</v>
      </c>
      <c r="M69" s="4">
        <v>192.73</v>
      </c>
      <c r="N69" s="4">
        <v>392.73</v>
      </c>
      <c r="O69" s="4">
        <v>196.37</v>
      </c>
      <c r="P69" s="4">
        <v>196.36</v>
      </c>
      <c r="Q69" s="4">
        <v>193.42</v>
      </c>
    </row>
    <row r="70" spans="12:17" x14ac:dyDescent="0.25">
      <c r="L70" s="4">
        <v>8</v>
      </c>
      <c r="M70" s="4">
        <v>193.42</v>
      </c>
      <c r="N70" s="4">
        <v>393.42</v>
      </c>
      <c r="O70" s="4">
        <v>196.71</v>
      </c>
      <c r="P70" s="4">
        <v>196.71</v>
      </c>
      <c r="Q70" s="4">
        <v>193.76</v>
      </c>
    </row>
    <row r="71" spans="12:17" x14ac:dyDescent="0.25">
      <c r="L71" s="4">
        <v>9</v>
      </c>
      <c r="M71" s="4">
        <v>193.76</v>
      </c>
      <c r="N71" s="4">
        <v>393.76</v>
      </c>
      <c r="O71" s="4">
        <v>196.88</v>
      </c>
      <c r="P71" s="4">
        <v>196.88</v>
      </c>
      <c r="Q71" s="4">
        <v>193.93</v>
      </c>
    </row>
    <row r="72" spans="12:17" x14ac:dyDescent="0.25">
      <c r="L72" s="4">
        <v>10</v>
      </c>
      <c r="M72" s="4">
        <v>193.93</v>
      </c>
      <c r="N72" s="4">
        <v>393.93</v>
      </c>
      <c r="O72" s="4">
        <v>196.97</v>
      </c>
      <c r="P72" s="4">
        <v>196.96</v>
      </c>
      <c r="Q72" s="4">
        <v>194.01</v>
      </c>
    </row>
    <row r="73" spans="12:17" x14ac:dyDescent="0.25">
      <c r="L73" s="4">
        <v>11</v>
      </c>
      <c r="M73" s="4">
        <v>194.01</v>
      </c>
      <c r="N73" s="4">
        <v>394.01</v>
      </c>
      <c r="O73" s="4">
        <v>197.01</v>
      </c>
      <c r="P73" s="4">
        <v>197</v>
      </c>
      <c r="Q73" s="4">
        <v>194.05</v>
      </c>
    </row>
    <row r="74" spans="12:17" x14ac:dyDescent="0.25">
      <c r="L74" s="4">
        <v>12</v>
      </c>
      <c r="M74" s="4">
        <v>194.05</v>
      </c>
      <c r="N74" s="4">
        <v>394.05</v>
      </c>
      <c r="O74" s="4">
        <v>197.03</v>
      </c>
      <c r="P74" s="4">
        <v>197.02</v>
      </c>
      <c r="Q74" s="4">
        <v>194.07</v>
      </c>
    </row>
    <row r="75" spans="12:17" x14ac:dyDescent="0.25">
      <c r="L75" s="4" t="s">
        <v>355</v>
      </c>
      <c r="M75" s="4">
        <v>194.09</v>
      </c>
      <c r="N75" s="4">
        <v>394.09</v>
      </c>
      <c r="O75" s="4">
        <v>197.05</v>
      </c>
      <c r="P75" s="4">
        <v>197.04</v>
      </c>
      <c r="Q75" s="4">
        <v>194.09</v>
      </c>
    </row>
  </sheetData>
  <mergeCells count="7">
    <mergeCell ref="B45:D45"/>
    <mergeCell ref="B6:D6"/>
    <mergeCell ref="B26:D26"/>
    <mergeCell ref="B9:D9"/>
    <mergeCell ref="B15:D15"/>
    <mergeCell ref="B29:D29"/>
    <mergeCell ref="B35:D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0B31-63BD-4F21-9806-C08847CFAA8F}">
  <dimension ref="B2:K78"/>
  <sheetViews>
    <sheetView workbookViewId="0">
      <selection activeCell="E12" sqref="E12"/>
    </sheetView>
  </sheetViews>
  <sheetFormatPr baseColWidth="10" defaultRowHeight="15" x14ac:dyDescent="0.25"/>
  <cols>
    <col min="2" max="2" width="19.85546875" customWidth="1"/>
    <col min="4" max="4" width="19.7109375" customWidth="1"/>
    <col min="9" max="9" width="25.28515625" customWidth="1"/>
  </cols>
  <sheetData>
    <row r="2" spans="2:11" x14ac:dyDescent="0.25">
      <c r="B2" t="s">
        <v>98</v>
      </c>
    </row>
    <row r="3" spans="2:11" x14ac:dyDescent="0.25">
      <c r="B3" s="45" t="s">
        <v>99</v>
      </c>
      <c r="C3" s="45"/>
      <c r="D3" s="45"/>
      <c r="E3" s="45"/>
      <c r="F3" s="45"/>
      <c r="I3" s="1" t="s">
        <v>151</v>
      </c>
      <c r="J3" s="1" t="s">
        <v>152</v>
      </c>
    </row>
    <row r="4" spans="2:11" x14ac:dyDescent="0.25">
      <c r="B4" s="46" t="s">
        <v>100</v>
      </c>
      <c r="C4" s="46"/>
      <c r="D4" s="46"/>
      <c r="E4" s="46"/>
      <c r="F4" s="46"/>
      <c r="I4" s="1"/>
    </row>
    <row r="5" spans="2:11" x14ac:dyDescent="0.25">
      <c r="I5" s="4" t="s">
        <v>153</v>
      </c>
      <c r="J5" s="4">
        <v>13170.46</v>
      </c>
      <c r="K5" s="4" t="s">
        <v>110</v>
      </c>
    </row>
    <row r="6" spans="2:11" x14ac:dyDescent="0.25">
      <c r="B6" s="46" t="s">
        <v>101</v>
      </c>
      <c r="C6" s="46"/>
      <c r="D6" s="46"/>
      <c r="E6" s="46"/>
      <c r="F6" s="46"/>
      <c r="G6" s="46"/>
      <c r="I6" s="4" t="s">
        <v>154</v>
      </c>
      <c r="J6" s="4">
        <v>6310.96</v>
      </c>
      <c r="K6" s="4" t="s">
        <v>110</v>
      </c>
    </row>
    <row r="7" spans="2:11" x14ac:dyDescent="0.25">
      <c r="B7" s="46" t="s">
        <v>102</v>
      </c>
      <c r="C7" s="46"/>
      <c r="D7" s="46"/>
      <c r="E7" s="46"/>
      <c r="F7" s="46"/>
      <c r="G7" s="46"/>
      <c r="I7" s="4" t="s">
        <v>155</v>
      </c>
      <c r="J7" s="4">
        <v>10930.76</v>
      </c>
      <c r="K7" s="4" t="s">
        <v>110</v>
      </c>
    </row>
    <row r="8" spans="2:11" x14ac:dyDescent="0.25">
      <c r="B8" s="46" t="s">
        <v>103</v>
      </c>
      <c r="C8" s="46"/>
      <c r="D8" s="46"/>
      <c r="E8" s="46"/>
      <c r="F8" s="46"/>
      <c r="I8" s="4" t="s">
        <v>156</v>
      </c>
      <c r="J8" s="4">
        <v>285.52999999999997</v>
      </c>
      <c r="K8" s="4" t="s">
        <v>110</v>
      </c>
    </row>
    <row r="9" spans="2:11" x14ac:dyDescent="0.25">
      <c r="I9" s="4" t="s">
        <v>157</v>
      </c>
      <c r="J9" s="4">
        <v>250</v>
      </c>
      <c r="K9" s="4" t="s">
        <v>110</v>
      </c>
    </row>
    <row r="10" spans="2:11" x14ac:dyDescent="0.25">
      <c r="I10" s="4" t="s">
        <v>158</v>
      </c>
      <c r="J10" s="4">
        <v>30947.71</v>
      </c>
      <c r="K10" s="4" t="s">
        <v>110</v>
      </c>
    </row>
    <row r="12" spans="2:11" ht="15.75" x14ac:dyDescent="0.25">
      <c r="B12" s="44" t="s">
        <v>104</v>
      </c>
      <c r="C12" s="44"/>
      <c r="D12" s="44"/>
      <c r="I12" s="4" t="s">
        <v>159</v>
      </c>
      <c r="J12" s="4"/>
      <c r="K12" s="4"/>
    </row>
    <row r="13" spans="2:11" x14ac:dyDescent="0.25">
      <c r="I13" s="4" t="s">
        <v>160</v>
      </c>
      <c r="J13" s="4">
        <v>25243.82</v>
      </c>
      <c r="K13" s="4" t="s">
        <v>110</v>
      </c>
    </row>
    <row r="14" spans="2:11" x14ac:dyDescent="0.25">
      <c r="B14" s="53" t="s">
        <v>105</v>
      </c>
      <c r="C14" s="54"/>
      <c r="D14" s="55"/>
      <c r="I14" s="4" t="s">
        <v>161</v>
      </c>
      <c r="J14" s="4">
        <v>8216.0300000000007</v>
      </c>
      <c r="K14" s="4" t="s">
        <v>110</v>
      </c>
    </row>
    <row r="15" spans="2:11" x14ac:dyDescent="0.25">
      <c r="B15" s="4" t="s">
        <v>106</v>
      </c>
      <c r="C15" s="4">
        <v>397</v>
      </c>
      <c r="D15" s="4" t="s">
        <v>14</v>
      </c>
      <c r="I15" s="4" t="s">
        <v>162</v>
      </c>
      <c r="J15" s="4">
        <v>33459.85</v>
      </c>
      <c r="K15" s="4" t="s">
        <v>110</v>
      </c>
    </row>
    <row r="16" spans="2:11" x14ac:dyDescent="0.25">
      <c r="B16" s="4" t="s">
        <v>107</v>
      </c>
      <c r="C16" s="4">
        <v>33180</v>
      </c>
      <c r="D16" s="4" t="s">
        <v>108</v>
      </c>
    </row>
    <row r="17" spans="2:11" ht="15.75" x14ac:dyDescent="0.25">
      <c r="B17" s="4" t="s">
        <v>109</v>
      </c>
      <c r="C17" s="4">
        <v>13170.46</v>
      </c>
      <c r="D17" s="4" t="s">
        <v>110</v>
      </c>
      <c r="I17" s="4" t="s">
        <v>163</v>
      </c>
      <c r="J17" s="18">
        <v>-2512.14</v>
      </c>
      <c r="K17" s="4" t="s">
        <v>164</v>
      </c>
    </row>
    <row r="19" spans="2:11" x14ac:dyDescent="0.25">
      <c r="B19" s="13" t="s">
        <v>111</v>
      </c>
      <c r="C19" s="14"/>
      <c r="D19" s="15"/>
    </row>
    <row r="20" spans="2:11" x14ac:dyDescent="0.25">
      <c r="B20" s="4" t="s">
        <v>112</v>
      </c>
      <c r="C20" s="4">
        <v>12621.91</v>
      </c>
      <c r="D20" s="4" t="s">
        <v>14</v>
      </c>
    </row>
    <row r="21" spans="2:11" x14ac:dyDescent="0.25">
      <c r="B21" s="4" t="s">
        <v>113</v>
      </c>
      <c r="C21" s="4">
        <v>50</v>
      </c>
      <c r="D21" s="4" t="s">
        <v>114</v>
      </c>
    </row>
    <row r="22" spans="2:11" x14ac:dyDescent="0.25">
      <c r="B22" s="4" t="s">
        <v>115</v>
      </c>
      <c r="C22" s="4">
        <v>400</v>
      </c>
      <c r="D22" s="4" t="s">
        <v>116</v>
      </c>
    </row>
    <row r="23" spans="2:11" x14ac:dyDescent="0.25">
      <c r="B23" s="4" t="s">
        <v>117</v>
      </c>
      <c r="C23" s="4">
        <v>25243.82</v>
      </c>
      <c r="D23" s="4" t="s">
        <v>118</v>
      </c>
    </row>
    <row r="25" spans="2:11" x14ac:dyDescent="0.25">
      <c r="B25" s="50" t="s">
        <v>119</v>
      </c>
      <c r="C25" s="51"/>
      <c r="D25" s="52"/>
    </row>
    <row r="26" spans="2:11" x14ac:dyDescent="0.25">
      <c r="B26" s="4" t="s">
        <v>120</v>
      </c>
      <c r="C26" s="4">
        <v>12621.91</v>
      </c>
      <c r="D26" s="4" t="s">
        <v>14</v>
      </c>
    </row>
    <row r="27" spans="2:11" x14ac:dyDescent="0.25">
      <c r="B27" s="4" t="s">
        <v>113</v>
      </c>
      <c r="C27" s="4">
        <v>50</v>
      </c>
      <c r="D27" s="4" t="s">
        <v>114</v>
      </c>
    </row>
    <row r="28" spans="2:11" x14ac:dyDescent="0.25">
      <c r="B28" s="4" t="s">
        <v>115</v>
      </c>
      <c r="C28" s="4">
        <v>100</v>
      </c>
      <c r="D28" s="4" t="s">
        <v>121</v>
      </c>
    </row>
    <row r="29" spans="2:11" x14ac:dyDescent="0.25">
      <c r="B29" s="4" t="s">
        <v>122</v>
      </c>
      <c r="C29" s="4">
        <v>6310.96</v>
      </c>
      <c r="D29" s="4" t="s">
        <v>110</v>
      </c>
    </row>
    <row r="31" spans="2:11" x14ac:dyDescent="0.25">
      <c r="B31" s="47" t="s">
        <v>123</v>
      </c>
      <c r="C31" s="48"/>
      <c r="D31" s="49"/>
    </row>
    <row r="32" spans="2:11" x14ac:dyDescent="0.25">
      <c r="B32" s="4" t="s">
        <v>120</v>
      </c>
      <c r="C32" s="4">
        <v>12621.91</v>
      </c>
      <c r="D32" s="4" t="s">
        <v>14</v>
      </c>
    </row>
    <row r="33" spans="2:4" x14ac:dyDescent="0.25">
      <c r="B33" s="4" t="s">
        <v>113</v>
      </c>
      <c r="C33" s="4">
        <v>50</v>
      </c>
      <c r="D33" s="4" t="s">
        <v>114</v>
      </c>
    </row>
    <row r="34" spans="2:4" x14ac:dyDescent="0.25">
      <c r="B34" s="4" t="s">
        <v>115</v>
      </c>
      <c r="C34" s="4">
        <v>639</v>
      </c>
      <c r="D34" s="4" t="s">
        <v>124</v>
      </c>
    </row>
    <row r="35" spans="2:4" x14ac:dyDescent="0.25">
      <c r="B35" s="4" t="s">
        <v>125</v>
      </c>
      <c r="C35" s="4">
        <v>40317.199999999997</v>
      </c>
      <c r="D35" s="4" t="s">
        <v>126</v>
      </c>
    </row>
    <row r="40" spans="2:4" ht="15.75" x14ac:dyDescent="0.25">
      <c r="B40" s="44" t="s">
        <v>127</v>
      </c>
      <c r="C40" s="44"/>
      <c r="D40" s="44"/>
    </row>
    <row r="42" spans="2:4" x14ac:dyDescent="0.25">
      <c r="B42" s="13" t="s">
        <v>128</v>
      </c>
      <c r="C42" s="13"/>
      <c r="D42" s="13"/>
    </row>
    <row r="43" spans="2:4" x14ac:dyDescent="0.25">
      <c r="B43" s="4" t="s">
        <v>106</v>
      </c>
      <c r="C43" s="4">
        <v>397</v>
      </c>
      <c r="D43" s="4" t="s">
        <v>14</v>
      </c>
    </row>
    <row r="44" spans="2:4" x14ac:dyDescent="0.25">
      <c r="B44" s="4" t="s">
        <v>129</v>
      </c>
      <c r="C44" s="4">
        <v>8.3140000000000001</v>
      </c>
      <c r="D44" s="4" t="s">
        <v>114</v>
      </c>
    </row>
    <row r="45" spans="2:4" x14ac:dyDescent="0.25">
      <c r="B45" s="4" t="s">
        <v>130</v>
      </c>
      <c r="C45" s="4">
        <v>291</v>
      </c>
      <c r="D45" s="4" t="s">
        <v>131</v>
      </c>
    </row>
    <row r="46" spans="2:4" x14ac:dyDescent="0.25">
      <c r="B46" s="4" t="s">
        <v>132</v>
      </c>
      <c r="C46" s="4">
        <v>34.450000000000003</v>
      </c>
      <c r="D46" s="4" t="s">
        <v>133</v>
      </c>
    </row>
    <row r="47" spans="2:4" x14ac:dyDescent="0.25">
      <c r="B47" s="4" t="s">
        <v>134</v>
      </c>
      <c r="C47" s="4">
        <v>0.75</v>
      </c>
      <c r="D47" s="4"/>
    </row>
    <row r="48" spans="2:4" x14ac:dyDescent="0.25">
      <c r="B48" s="4" t="s">
        <v>135</v>
      </c>
      <c r="C48" s="4"/>
      <c r="D48" s="4"/>
    </row>
    <row r="49" spans="2:4" x14ac:dyDescent="0.25">
      <c r="B49" s="4" t="s">
        <v>136</v>
      </c>
      <c r="C49" s="4">
        <v>10930.76</v>
      </c>
      <c r="D49" s="4" t="s">
        <v>110</v>
      </c>
    </row>
    <row r="50" spans="2:4" x14ac:dyDescent="0.25">
      <c r="B50" s="4" t="s">
        <v>137</v>
      </c>
      <c r="C50" s="4">
        <v>3036.32</v>
      </c>
      <c r="D50" s="4" t="s">
        <v>138</v>
      </c>
    </row>
    <row r="52" spans="2:4" x14ac:dyDescent="0.25">
      <c r="B52" s="56" t="s">
        <v>139</v>
      </c>
      <c r="C52" s="57"/>
      <c r="D52" s="58"/>
    </row>
    <row r="53" spans="2:4" x14ac:dyDescent="0.25">
      <c r="B53" s="4" t="s">
        <v>106</v>
      </c>
      <c r="C53" s="4">
        <v>8526.01</v>
      </c>
      <c r="D53" s="4" t="s">
        <v>14</v>
      </c>
    </row>
    <row r="54" spans="2:4" x14ac:dyDescent="0.25">
      <c r="B54" s="4" t="s">
        <v>129</v>
      </c>
      <c r="C54" s="4">
        <v>8.3140000000000001</v>
      </c>
      <c r="D54" s="4" t="s">
        <v>114</v>
      </c>
    </row>
    <row r="55" spans="2:4" x14ac:dyDescent="0.25">
      <c r="B55" s="4" t="s">
        <v>130</v>
      </c>
      <c r="C55" s="4">
        <v>310</v>
      </c>
      <c r="D55" s="4" t="s">
        <v>131</v>
      </c>
    </row>
    <row r="56" spans="2:4" x14ac:dyDescent="0.25">
      <c r="B56" s="4" t="s">
        <v>132</v>
      </c>
      <c r="C56" s="4">
        <v>1.103</v>
      </c>
      <c r="D56" s="4" t="s">
        <v>140</v>
      </c>
    </row>
    <row r="57" spans="2:4" x14ac:dyDescent="0.25">
      <c r="B57" s="4" t="s">
        <v>134</v>
      </c>
      <c r="C57" s="4">
        <v>0.75</v>
      </c>
      <c r="D57" s="4"/>
    </row>
    <row r="58" spans="2:4" x14ac:dyDescent="0.25">
      <c r="B58" s="4" t="s">
        <v>141</v>
      </c>
      <c r="C58" s="4"/>
      <c r="D58" s="4"/>
    </row>
    <row r="59" spans="2:4" x14ac:dyDescent="0.25">
      <c r="B59" s="4" t="s">
        <v>142</v>
      </c>
      <c r="C59" s="4">
        <v>285.52999999999997</v>
      </c>
      <c r="D59" s="4" t="s">
        <v>110</v>
      </c>
    </row>
    <row r="60" spans="2:4" x14ac:dyDescent="0.25">
      <c r="B60" s="4" t="s">
        <v>137</v>
      </c>
      <c r="C60" s="4">
        <v>79.31</v>
      </c>
      <c r="D60" s="4" t="s">
        <v>138</v>
      </c>
    </row>
    <row r="64" spans="2:4" x14ac:dyDescent="0.25">
      <c r="B64" s="2" t="s">
        <v>143</v>
      </c>
      <c r="C64" s="2"/>
      <c r="D64" s="2"/>
    </row>
    <row r="65" spans="2:4" x14ac:dyDescent="0.25">
      <c r="B65" s="12" t="s">
        <v>144</v>
      </c>
      <c r="C65" s="12"/>
      <c r="D65" s="12"/>
    </row>
    <row r="66" spans="2:4" x14ac:dyDescent="0.25">
      <c r="B66" s="4" t="s">
        <v>145</v>
      </c>
      <c r="C66" s="4">
        <v>50</v>
      </c>
      <c r="D66" s="4" t="s">
        <v>110</v>
      </c>
    </row>
    <row r="67" spans="2:4" x14ac:dyDescent="0.25">
      <c r="B67" s="4" t="s">
        <v>146</v>
      </c>
      <c r="C67" s="4">
        <v>30</v>
      </c>
      <c r="D67" s="4" t="s">
        <v>110</v>
      </c>
    </row>
    <row r="69" spans="2:4" x14ac:dyDescent="0.25">
      <c r="B69" s="16" t="s">
        <v>147</v>
      </c>
      <c r="C69" s="16"/>
      <c r="D69" s="16"/>
    </row>
    <row r="70" spans="2:4" x14ac:dyDescent="0.25">
      <c r="B70" s="4" t="s">
        <v>145</v>
      </c>
      <c r="C70" s="4">
        <v>120</v>
      </c>
      <c r="D70" s="4" t="s">
        <v>110</v>
      </c>
    </row>
    <row r="71" spans="2:4" x14ac:dyDescent="0.25">
      <c r="B71" s="4" t="s">
        <v>146</v>
      </c>
      <c r="C71" s="4">
        <v>66</v>
      </c>
      <c r="D71" s="4" t="s">
        <v>110</v>
      </c>
    </row>
    <row r="73" spans="2:4" x14ac:dyDescent="0.25">
      <c r="B73" s="17" t="s">
        <v>148</v>
      </c>
      <c r="C73" s="17"/>
      <c r="D73" s="17"/>
    </row>
    <row r="74" spans="2:4" x14ac:dyDescent="0.25">
      <c r="B74" s="4" t="s">
        <v>145</v>
      </c>
      <c r="C74" s="4">
        <v>80</v>
      </c>
      <c r="D74" s="4" t="s">
        <v>110</v>
      </c>
    </row>
    <row r="75" spans="2:4" x14ac:dyDescent="0.25">
      <c r="B75" s="4" t="s">
        <v>146</v>
      </c>
      <c r="C75" s="4">
        <v>48</v>
      </c>
      <c r="D75" s="4" t="s">
        <v>110</v>
      </c>
    </row>
    <row r="77" spans="2:4" x14ac:dyDescent="0.25">
      <c r="B77" s="4" t="s">
        <v>149</v>
      </c>
      <c r="C77" s="4">
        <v>250</v>
      </c>
      <c r="D77" s="4" t="s">
        <v>110</v>
      </c>
    </row>
    <row r="78" spans="2:4" x14ac:dyDescent="0.25">
      <c r="B78" s="4" t="s">
        <v>150</v>
      </c>
      <c r="C78" s="4">
        <v>144</v>
      </c>
      <c r="D78" s="4" t="s">
        <v>110</v>
      </c>
    </row>
  </sheetData>
  <mergeCells count="11">
    <mergeCell ref="B31:D31"/>
    <mergeCell ref="B25:D25"/>
    <mergeCell ref="B14:D14"/>
    <mergeCell ref="B40:D40"/>
    <mergeCell ref="B52:D52"/>
    <mergeCell ref="B12:D12"/>
    <mergeCell ref="B3:F3"/>
    <mergeCell ref="B4:F4"/>
    <mergeCell ref="B6:G6"/>
    <mergeCell ref="B7:G7"/>
    <mergeCell ref="B8:F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4B1E-557C-432C-A15D-18B6570F280B}">
  <dimension ref="B2:O18"/>
  <sheetViews>
    <sheetView topLeftCell="B1" workbookViewId="0">
      <selection activeCell="K20" sqref="K20"/>
    </sheetView>
  </sheetViews>
  <sheetFormatPr baseColWidth="10" defaultRowHeight="15" x14ac:dyDescent="0.25"/>
  <cols>
    <col min="2" max="2" width="18.42578125" customWidth="1"/>
    <col min="3" max="3" width="16" customWidth="1"/>
    <col min="6" max="6" width="16.140625" customWidth="1"/>
  </cols>
  <sheetData>
    <row r="2" spans="2:15" x14ac:dyDescent="0.25">
      <c r="B2" s="30" t="s">
        <v>165</v>
      </c>
      <c r="C2" s="32"/>
    </row>
    <row r="3" spans="2:15" x14ac:dyDescent="0.25">
      <c r="B3" s="4" t="s">
        <v>166</v>
      </c>
      <c r="C3" s="4">
        <v>200</v>
      </c>
    </row>
    <row r="4" spans="2:15" x14ac:dyDescent="0.25">
      <c r="B4" s="4" t="s">
        <v>167</v>
      </c>
      <c r="C4" s="4">
        <v>2322.7399999999998</v>
      </c>
      <c r="F4" s="19" t="s">
        <v>308</v>
      </c>
      <c r="G4" s="19"/>
      <c r="H4" s="19"/>
      <c r="I4" s="19"/>
      <c r="J4" s="19"/>
      <c r="K4" s="19"/>
      <c r="L4" s="19"/>
      <c r="M4" s="19"/>
      <c r="N4" s="19"/>
      <c r="O4" s="19"/>
    </row>
    <row r="5" spans="2:15" x14ac:dyDescent="0.25">
      <c r="B5" s="4" t="s">
        <v>168</v>
      </c>
      <c r="C5" s="4">
        <v>122.25</v>
      </c>
      <c r="F5" s="4" t="s">
        <v>309</v>
      </c>
      <c r="G5" s="4" t="s">
        <v>310</v>
      </c>
      <c r="H5" s="4" t="s">
        <v>311</v>
      </c>
      <c r="I5" s="4" t="s">
        <v>312</v>
      </c>
      <c r="J5" s="4" t="s">
        <v>59</v>
      </c>
      <c r="K5" s="4" t="s">
        <v>60</v>
      </c>
      <c r="L5" s="4" t="s">
        <v>313</v>
      </c>
      <c r="M5" s="4" t="s">
        <v>314</v>
      </c>
      <c r="N5" s="4" t="s">
        <v>315</v>
      </c>
      <c r="O5" s="4" t="s">
        <v>316</v>
      </c>
    </row>
    <row r="6" spans="2:15" x14ac:dyDescent="0.25">
      <c r="B6" s="4" t="s">
        <v>169</v>
      </c>
      <c r="C6" s="4">
        <v>2644.99</v>
      </c>
      <c r="F6" s="4" t="s">
        <v>317</v>
      </c>
      <c r="G6" s="4" t="s">
        <v>318</v>
      </c>
      <c r="H6" s="4">
        <v>1400</v>
      </c>
      <c r="I6" s="4">
        <v>0</v>
      </c>
      <c r="J6" s="4">
        <v>2322.7399999999998</v>
      </c>
      <c r="K6" s="4">
        <v>122.25</v>
      </c>
      <c r="L6" s="4">
        <v>0</v>
      </c>
      <c r="M6" s="4">
        <v>200</v>
      </c>
      <c r="N6" s="4">
        <v>0</v>
      </c>
      <c r="O6" s="4">
        <v>2644.99</v>
      </c>
    </row>
    <row r="7" spans="2:15" x14ac:dyDescent="0.25">
      <c r="F7" s="4" t="s">
        <v>319</v>
      </c>
      <c r="G7" s="4" t="s">
        <v>320</v>
      </c>
      <c r="H7" s="4">
        <v>196.52</v>
      </c>
      <c r="I7" s="4">
        <v>0</v>
      </c>
      <c r="J7" s="4">
        <v>0.99</v>
      </c>
      <c r="K7" s="4">
        <v>196.52</v>
      </c>
      <c r="L7" s="4">
        <v>196.52</v>
      </c>
      <c r="M7" s="4">
        <v>0</v>
      </c>
      <c r="N7" s="4">
        <v>0.99</v>
      </c>
      <c r="O7" s="4"/>
    </row>
    <row r="8" spans="2:15" x14ac:dyDescent="0.25">
      <c r="B8" s="30" t="s">
        <v>170</v>
      </c>
      <c r="C8" s="32"/>
      <c r="F8" s="4" t="s">
        <v>321</v>
      </c>
      <c r="G8" s="4" t="s">
        <v>322</v>
      </c>
      <c r="H8" s="4">
        <v>-198.5</v>
      </c>
      <c r="I8" s="4">
        <v>0</v>
      </c>
      <c r="J8" s="4">
        <v>-196.52</v>
      </c>
      <c r="K8" s="4">
        <v>0</v>
      </c>
      <c r="L8" s="4">
        <v>-1.98</v>
      </c>
      <c r="M8" s="4">
        <v>-198.5</v>
      </c>
      <c r="N8" s="4">
        <v>0</v>
      </c>
      <c r="O8" s="4"/>
    </row>
    <row r="9" spans="2:15" x14ac:dyDescent="0.25">
      <c r="B9" s="4" t="s">
        <v>171</v>
      </c>
      <c r="C9" s="4">
        <v>192.34</v>
      </c>
      <c r="F9" s="4" t="s">
        <v>323</v>
      </c>
      <c r="G9" s="4" t="s">
        <v>324</v>
      </c>
      <c r="H9" s="4">
        <v>1162.55</v>
      </c>
      <c r="I9" s="4">
        <v>0</v>
      </c>
      <c r="J9" s="4">
        <v>0</v>
      </c>
      <c r="K9" s="4">
        <v>0</v>
      </c>
      <c r="L9" s="4">
        <v>192.4</v>
      </c>
      <c r="M9" s="4">
        <v>3.01</v>
      </c>
      <c r="N9" s="4">
        <v>0.97</v>
      </c>
      <c r="O9" s="4">
        <v>196.38</v>
      </c>
    </row>
    <row r="10" spans="2:15" x14ac:dyDescent="0.25">
      <c r="B10" s="4" t="s">
        <v>172</v>
      </c>
      <c r="C10" s="4">
        <v>0.97</v>
      </c>
      <c r="F10" s="4" t="s">
        <v>325</v>
      </c>
      <c r="G10" s="4" t="s">
        <v>324</v>
      </c>
      <c r="H10" s="4">
        <v>242.37</v>
      </c>
      <c r="I10" s="4">
        <v>0</v>
      </c>
      <c r="J10" s="4">
        <v>3422.02</v>
      </c>
      <c r="K10" s="4">
        <v>230.21</v>
      </c>
      <c r="L10" s="4">
        <v>1.18</v>
      </c>
      <c r="M10" s="4">
        <v>0.6</v>
      </c>
      <c r="N10" s="4">
        <v>0</v>
      </c>
      <c r="O10" s="4">
        <v>3654.01</v>
      </c>
    </row>
    <row r="11" spans="2:15" x14ac:dyDescent="0.25">
      <c r="B11" s="4" t="s">
        <v>173</v>
      </c>
      <c r="C11" s="4">
        <v>3422.02</v>
      </c>
      <c r="F11" s="4" t="s">
        <v>326</v>
      </c>
      <c r="G11" s="4" t="s">
        <v>324</v>
      </c>
      <c r="H11" s="4">
        <v>40</v>
      </c>
      <c r="I11" s="4">
        <v>0</v>
      </c>
      <c r="J11" s="4">
        <v>11.3</v>
      </c>
      <c r="K11" s="4">
        <v>39.99</v>
      </c>
      <c r="L11" s="4">
        <v>0</v>
      </c>
      <c r="M11" s="4">
        <v>0</v>
      </c>
      <c r="N11" s="4">
        <v>0</v>
      </c>
      <c r="O11" s="4">
        <v>51.29</v>
      </c>
    </row>
    <row r="12" spans="2:15" x14ac:dyDescent="0.25">
      <c r="B12" s="4" t="s">
        <v>174</v>
      </c>
      <c r="C12" s="4">
        <v>230.21</v>
      </c>
    </row>
    <row r="13" spans="2:15" x14ac:dyDescent="0.25">
      <c r="B13" s="4" t="s">
        <v>175</v>
      </c>
      <c r="C13" s="4">
        <v>11.3</v>
      </c>
      <c r="F13" t="s">
        <v>327</v>
      </c>
    </row>
    <row r="14" spans="2:15" x14ac:dyDescent="0.25">
      <c r="B14" s="4" t="s">
        <v>176</v>
      </c>
      <c r="C14" s="4">
        <v>39.99</v>
      </c>
      <c r="F14" t="s">
        <v>328</v>
      </c>
    </row>
    <row r="15" spans="2:15" x14ac:dyDescent="0.25">
      <c r="B15" s="4" t="s">
        <v>177</v>
      </c>
      <c r="C15" s="4">
        <v>3896.83</v>
      </c>
      <c r="F15" t="s">
        <v>329</v>
      </c>
    </row>
    <row r="17" spans="2:3" x14ac:dyDescent="0.25">
      <c r="B17" t="s">
        <v>178</v>
      </c>
      <c r="C17" t="s">
        <v>179</v>
      </c>
    </row>
    <row r="18" spans="2:3" x14ac:dyDescent="0.25">
      <c r="B18" t="s">
        <v>180</v>
      </c>
    </row>
  </sheetData>
  <mergeCells count="3">
    <mergeCell ref="B2:C2"/>
    <mergeCell ref="B8:C8"/>
    <mergeCell ref="F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C071-B7DA-454E-A310-211DA0D6E998}">
  <dimension ref="B2:E15"/>
  <sheetViews>
    <sheetView workbookViewId="0">
      <selection activeCell="E8" sqref="E8"/>
    </sheetView>
  </sheetViews>
  <sheetFormatPr baseColWidth="10" defaultRowHeight="15" x14ac:dyDescent="0.25"/>
  <cols>
    <col min="2" max="2" width="23.140625" customWidth="1"/>
    <col min="4" max="4" width="15.42578125" customWidth="1"/>
  </cols>
  <sheetData>
    <row r="2" spans="2:5" x14ac:dyDescent="0.25">
      <c r="B2" s="30" t="s">
        <v>181</v>
      </c>
      <c r="C2" s="31"/>
      <c r="D2" s="32"/>
    </row>
    <row r="3" spans="2:5" x14ac:dyDescent="0.25">
      <c r="B3" s="4" t="s">
        <v>182</v>
      </c>
      <c r="C3" s="4">
        <v>50</v>
      </c>
      <c r="D3" s="4" t="s">
        <v>183</v>
      </c>
      <c r="E3" t="s">
        <v>304</v>
      </c>
    </row>
    <row r="4" spans="2:5" x14ac:dyDescent="0.25">
      <c r="B4" s="4" t="s">
        <v>184</v>
      </c>
      <c r="C4" s="4">
        <v>99</v>
      </c>
      <c r="D4" s="4" t="s">
        <v>183</v>
      </c>
      <c r="E4" t="s">
        <v>305</v>
      </c>
    </row>
    <row r="5" spans="2:5" x14ac:dyDescent="0.25">
      <c r="B5" s="4" t="s">
        <v>185</v>
      </c>
      <c r="C5" s="4">
        <v>96.17</v>
      </c>
      <c r="D5" s="4" t="s">
        <v>186</v>
      </c>
      <c r="E5" t="s">
        <v>306</v>
      </c>
    </row>
    <row r="6" spans="2:5" x14ac:dyDescent="0.25">
      <c r="B6" s="4" t="s">
        <v>187</v>
      </c>
      <c r="C6" s="4">
        <v>99.97</v>
      </c>
      <c r="D6" s="4" t="s">
        <v>188</v>
      </c>
      <c r="E6" t="s">
        <v>307</v>
      </c>
    </row>
    <row r="8" spans="2:5" x14ac:dyDescent="0.25">
      <c r="B8" s="4" t="s">
        <v>189</v>
      </c>
      <c r="C8" s="4">
        <v>192.34</v>
      </c>
      <c r="D8" s="4" t="s">
        <v>14</v>
      </c>
    </row>
    <row r="9" spans="2:5" x14ac:dyDescent="0.25">
      <c r="B9" s="4" t="s">
        <v>189</v>
      </c>
      <c r="C9" s="4">
        <v>15013.93</v>
      </c>
      <c r="D9" s="4" t="s">
        <v>88</v>
      </c>
    </row>
    <row r="10" spans="2:5" x14ac:dyDescent="0.25">
      <c r="B10" s="4" t="s">
        <v>190</v>
      </c>
      <c r="C10" s="4">
        <v>120111.44</v>
      </c>
      <c r="D10" s="4" t="s">
        <v>191</v>
      </c>
    </row>
    <row r="12" spans="2:5" x14ac:dyDescent="0.25">
      <c r="B12" s="4" t="s">
        <v>192</v>
      </c>
      <c r="C12" s="4"/>
      <c r="D12" s="4"/>
    </row>
    <row r="13" spans="2:5" x14ac:dyDescent="0.25">
      <c r="B13" s="4" t="s">
        <v>193</v>
      </c>
      <c r="C13" s="4">
        <v>1.2290000000000001</v>
      </c>
      <c r="D13" s="4" t="s">
        <v>194</v>
      </c>
    </row>
    <row r="14" spans="2:5" x14ac:dyDescent="0.25">
      <c r="B14" s="4" t="s">
        <v>195</v>
      </c>
      <c r="C14" s="4">
        <v>0.312</v>
      </c>
      <c r="D14" s="4" t="s">
        <v>194</v>
      </c>
    </row>
    <row r="15" spans="2:5" x14ac:dyDescent="0.25">
      <c r="B15" s="4" t="s">
        <v>196</v>
      </c>
      <c r="C15" s="4">
        <v>2.0619999999999998</v>
      </c>
      <c r="D15" s="4" t="s">
        <v>197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base</vt:lpstr>
      <vt:lpstr>Reactor</vt:lpstr>
      <vt:lpstr>Separador flash</vt:lpstr>
      <vt:lpstr>Reciclo y purga</vt:lpstr>
      <vt:lpstr>Columnas de destilación</vt:lpstr>
      <vt:lpstr>Balance de energía</vt:lpstr>
      <vt:lpstr>Balance global</vt:lpstr>
      <vt:lpstr>Rendimiento y eficiencia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RUBI HERNANDEZ FLOREANO</dc:creator>
  <cp:lastModifiedBy>PAOLA RUBI HERNANDEZ FLOREANO</cp:lastModifiedBy>
  <dcterms:created xsi:type="dcterms:W3CDTF">2025-11-10T01:18:07Z</dcterms:created>
  <dcterms:modified xsi:type="dcterms:W3CDTF">2025-11-25T05:32:58Z</dcterms:modified>
</cp:coreProperties>
</file>